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echat File\xwechat_files\Flora903_0595\msg\file\2026-08\"/>
    </mc:Choice>
  </mc:AlternateContent>
  <bookViews>
    <workbookView windowWidth="28800" windowHeight="12375" firstSheet="3" activeTab="2"/>
  </bookViews>
  <sheets>
    <sheet name="Ship" sheetId="5" r:id="rId1"/>
    <sheet name="销售订单8.06" sheetId="6" r:id="rId2"/>
    <sheet name="一般贸易发票 (更新)" sheetId="3" r:id="rId3"/>
    <sheet name="一般贸易箱单" sheetId="2" r:id="rId4"/>
  </sheets>
  <definedNames>
    <definedName name="_xlnm.Print_Area" localSheetId="3">一般贸易箱单!$B$1:$K$42</definedName>
    <definedName name="所属公司">#REF!</definedName>
    <definedName name="所属公司" localSheetId="1">#REF!</definedName>
    <definedName name="_xlnm._FilterDatabase" localSheetId="1" hidden="1">销售订单8.06!$A$1:$M$17</definedName>
    <definedName name="_xlnm.Print_Area" localSheetId="1">销售订单8.06!$A$1:$M$29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<sst xmlns="http://schemas.openxmlformats.org/spreadsheetml/2006/main" count="134" uniqueCount="127">
  <si>
    <t>SHIP　TO:</t>
  </si>
  <si>
    <r>
      <rPr>
        <b/>
        <sz val="10"/>
        <rFont val="Arial"/>
        <charset val="0"/>
      </rPr>
      <t>Buyer(</t>
    </r>
    <r>
      <rPr>
        <b/>
        <sz val="10"/>
        <rFont val="宋体"/>
        <charset val="0"/>
      </rPr>
      <t>买方公司</t>
    </r>
    <r>
      <rPr>
        <b/>
        <sz val="10"/>
        <rFont val="Arial"/>
        <charset val="0"/>
      </rPr>
      <t>):</t>
    </r>
  </si>
  <si>
    <t>Unilase Ltd</t>
  </si>
  <si>
    <r>
      <rPr>
        <b/>
        <sz val="10"/>
        <rFont val="Arial"/>
        <charset val="0"/>
      </rPr>
      <t>Contact person(</t>
    </r>
    <r>
      <rPr>
        <b/>
        <sz val="10"/>
        <rFont val="宋体"/>
        <charset val="0"/>
      </rPr>
      <t>联系人</t>
    </r>
    <r>
      <rPr>
        <b/>
        <sz val="10"/>
        <rFont val="Arial"/>
        <charset val="0"/>
      </rPr>
      <t>):</t>
    </r>
  </si>
  <si>
    <t>Dr Ara Minassian</t>
  </si>
  <si>
    <r>
      <rPr>
        <b/>
        <sz val="10"/>
        <rFont val="Arial"/>
        <charset val="0"/>
      </rPr>
      <t>Address(</t>
    </r>
    <r>
      <rPr>
        <b/>
        <sz val="10"/>
        <rFont val="宋体"/>
        <charset val="0"/>
      </rPr>
      <t>地址</t>
    </r>
    <r>
      <rPr>
        <b/>
        <sz val="10"/>
        <rFont val="Arial"/>
        <charset val="0"/>
      </rPr>
      <t>):</t>
    </r>
  </si>
  <si>
    <r>
      <rPr>
        <sz val="11"/>
        <color theme="1"/>
        <rFont val="Arial"/>
        <charset val="134"/>
      </rPr>
      <t>60 Grays Inn Road</t>
    </r>
    <r>
      <rPr>
        <sz val="11"/>
        <color theme="1"/>
        <rFont val="宋体"/>
        <charset val="134"/>
      </rPr>
      <t>　</t>
    </r>
    <r>
      <rPr>
        <sz val="11"/>
        <color theme="1"/>
        <rFont val="Arial"/>
        <charset val="134"/>
      </rPr>
      <t>Unit LG04 London WC1X 8LU UK</t>
    </r>
  </si>
  <si>
    <r>
      <rPr>
        <b/>
        <sz val="10"/>
        <rFont val="Arial"/>
        <charset val="0"/>
      </rPr>
      <t>Phone NO(</t>
    </r>
    <r>
      <rPr>
        <b/>
        <sz val="10"/>
        <rFont val="宋体"/>
        <charset val="0"/>
      </rPr>
      <t>电话</t>
    </r>
    <r>
      <rPr>
        <b/>
        <sz val="10"/>
        <rFont val="Arial"/>
        <charset val="0"/>
      </rPr>
      <t>):</t>
    </r>
  </si>
  <si>
    <t>+44 (20) 3176 2589</t>
  </si>
  <si>
    <r>
      <rPr>
        <b/>
        <sz val="10"/>
        <rFont val="Arial"/>
        <charset val="0"/>
      </rPr>
      <t>Postal code(</t>
    </r>
    <r>
      <rPr>
        <b/>
        <sz val="10"/>
        <rFont val="宋体"/>
        <charset val="0"/>
      </rPr>
      <t>邮编</t>
    </r>
    <r>
      <rPr>
        <b/>
        <sz val="10"/>
        <rFont val="Arial"/>
        <charset val="0"/>
      </rPr>
      <t>):</t>
    </r>
  </si>
  <si>
    <r>
      <rPr>
        <b/>
        <sz val="10"/>
        <rFont val="Arial"/>
        <charset val="0"/>
      </rPr>
      <t>City(</t>
    </r>
    <r>
      <rPr>
        <b/>
        <sz val="10"/>
        <rFont val="宋体"/>
        <charset val="0"/>
      </rPr>
      <t>城市</t>
    </r>
    <r>
      <rPr>
        <b/>
        <sz val="10"/>
        <rFont val="Arial"/>
        <charset val="0"/>
      </rPr>
      <t>):</t>
    </r>
  </si>
  <si>
    <t>VAT NO.</t>
  </si>
  <si>
    <t>EORI</t>
  </si>
  <si>
    <r>
      <rPr>
        <b/>
        <sz val="10"/>
        <rFont val="宋体"/>
        <charset val="0"/>
      </rPr>
      <t>电子邮件</t>
    </r>
    <r>
      <rPr>
        <b/>
        <sz val="10"/>
        <rFont val="Arial"/>
        <charset val="0"/>
      </rPr>
      <t>:</t>
    </r>
  </si>
  <si>
    <t>a.minassian@unilase.com</t>
  </si>
  <si>
    <r>
      <rPr>
        <b/>
        <sz val="28"/>
        <rFont val="宋体"/>
        <charset val="134"/>
      </rPr>
      <t>销售订单</t>
    </r>
    <r>
      <rPr>
        <b/>
        <sz val="18"/>
        <rFont val="Arial"/>
        <charset val="134"/>
      </rPr>
      <t xml:space="preserve">
Sales Contract</t>
    </r>
  </si>
  <si>
    <r>
      <rPr>
        <b/>
        <sz val="12"/>
        <rFont val="宋体"/>
        <charset val="134"/>
      </rPr>
      <t>订单号</t>
    </r>
    <r>
      <rPr>
        <b/>
        <sz val="12"/>
        <rFont val="Arial"/>
        <charset val="134"/>
      </rPr>
      <t>/SO.</t>
    </r>
    <r>
      <rPr>
        <b/>
        <sz val="12"/>
        <rFont val="宋体"/>
        <charset val="134"/>
      </rPr>
      <t>：</t>
    </r>
  </si>
  <si>
    <t>ST2608005</t>
  </si>
  <si>
    <r>
      <rPr>
        <b/>
        <sz val="12"/>
        <rFont val="宋体"/>
        <charset val="134"/>
      </rPr>
      <t>订单日期</t>
    </r>
    <r>
      <rPr>
        <b/>
        <sz val="12"/>
        <rFont val="Arial"/>
        <charset val="134"/>
      </rPr>
      <t>/Order date</t>
    </r>
    <r>
      <rPr>
        <b/>
        <sz val="12"/>
        <rFont val="宋体"/>
        <charset val="134"/>
      </rPr>
      <t>：</t>
    </r>
  </si>
  <si>
    <t>2026-8-6</t>
  </si>
  <si>
    <r>
      <rPr>
        <b/>
        <sz val="12"/>
        <color theme="1"/>
        <rFont val="宋体"/>
        <charset val="134"/>
      </rPr>
      <t>买方</t>
    </r>
    <r>
      <rPr>
        <b/>
        <sz val="12"/>
        <color theme="1"/>
        <rFont val="Arial"/>
        <charset val="134"/>
      </rPr>
      <t>/Buyer</t>
    </r>
    <r>
      <rPr>
        <b/>
        <sz val="12"/>
        <color theme="1"/>
        <rFont val="宋体"/>
        <charset val="134"/>
      </rPr>
      <t>：</t>
    </r>
  </si>
  <si>
    <r>
      <rPr>
        <b/>
        <sz val="12"/>
        <color theme="1"/>
        <rFont val="宋体"/>
        <charset val="134"/>
      </rPr>
      <t>卖方</t>
    </r>
    <r>
      <rPr>
        <b/>
        <sz val="12"/>
        <color theme="1"/>
        <rFont val="Arial"/>
        <charset val="134"/>
      </rPr>
      <t>/Seller</t>
    </r>
    <r>
      <rPr>
        <b/>
        <sz val="12"/>
        <color theme="1"/>
        <rFont val="宋体"/>
        <charset val="134"/>
      </rPr>
      <t>：</t>
    </r>
  </si>
  <si>
    <r>
      <rPr>
        <b/>
        <sz val="12"/>
        <rFont val="宋体"/>
        <charset val="134"/>
      </rPr>
      <t>深圳市旭思达光电科技有限公司</t>
    </r>
  </si>
  <si>
    <r>
      <rPr>
        <b/>
        <sz val="12"/>
        <rFont val="Arial"/>
        <charset val="134"/>
      </rPr>
      <t>Cleverwave Tech,Inc.</t>
    </r>
    <r>
      <rPr>
        <b/>
        <sz val="12"/>
        <rFont val="宋体"/>
        <charset val="134"/>
      </rPr>
      <t>（虹竣科技有限公司）</t>
    </r>
  </si>
  <si>
    <t>Shenzhen SunStar Optical Electronics Company, LTD</t>
  </si>
  <si>
    <r>
      <rPr>
        <b/>
        <sz val="12"/>
        <color theme="1"/>
        <rFont val="宋体"/>
        <charset val="134"/>
      </rPr>
      <t>地址</t>
    </r>
    <r>
      <rPr>
        <b/>
        <sz val="12"/>
        <color theme="1"/>
        <rFont val="Arial"/>
        <charset val="134"/>
      </rPr>
      <t>/Add</t>
    </r>
    <r>
      <rPr>
        <b/>
        <sz val="12"/>
        <color theme="1"/>
        <rFont val="宋体"/>
        <charset val="134"/>
      </rPr>
      <t>：</t>
    </r>
  </si>
  <si>
    <r>
      <rPr>
        <b/>
        <sz val="12"/>
        <rFont val="Arial"/>
        <charset val="134"/>
      </rPr>
      <t>330058</t>
    </r>
    <r>
      <rPr>
        <b/>
        <sz val="12"/>
        <rFont val="宋体"/>
        <charset val="134"/>
      </rPr>
      <t>桃園市桃園區大仁路</t>
    </r>
    <r>
      <rPr>
        <b/>
        <sz val="12"/>
        <rFont val="Arial"/>
        <charset val="134"/>
      </rPr>
      <t>30</t>
    </r>
    <r>
      <rPr>
        <b/>
        <sz val="12"/>
        <rFont val="宋体"/>
        <charset val="134"/>
      </rPr>
      <t>號</t>
    </r>
    <r>
      <rPr>
        <b/>
        <sz val="12"/>
        <rFont val="Arial"/>
        <charset val="134"/>
      </rPr>
      <t>1</t>
    </r>
    <r>
      <rPr>
        <b/>
        <sz val="12"/>
        <rFont val="宋体"/>
        <charset val="134"/>
      </rPr>
      <t>樓</t>
    </r>
    <r>
      <rPr>
        <b/>
        <sz val="12"/>
        <rFont val="Arial"/>
        <charset val="134"/>
      </rPr>
      <t xml:space="preserve">                                                      1F, No.30, Daren Road, Taoyuan Dist.,
Taoyuan City, 330, Taiwan</t>
    </r>
  </si>
  <si>
    <r>
      <rPr>
        <b/>
        <sz val="12"/>
        <color theme="1"/>
        <rFont val="宋体"/>
        <charset val="134"/>
      </rPr>
      <t>地址</t>
    </r>
    <r>
      <rPr>
        <b/>
        <sz val="12"/>
        <color theme="1"/>
        <rFont val="Arial"/>
        <charset val="134"/>
      </rPr>
      <t>/Add.</t>
    </r>
    <r>
      <rPr>
        <b/>
        <sz val="12"/>
        <color theme="1"/>
        <rFont val="宋体"/>
        <charset val="134"/>
      </rPr>
      <t>：</t>
    </r>
  </si>
  <si>
    <t>Room 602, Jingfeng Building, No. 42 Wuhedadao (South), Nankun Community, Bantian Subdistrict, Longgang District,Shenzhen</t>
  </si>
  <si>
    <r>
      <rPr>
        <b/>
        <sz val="12"/>
        <rFont val="宋体"/>
        <charset val="134"/>
      </rPr>
      <t>联系人</t>
    </r>
    <r>
      <rPr>
        <b/>
        <sz val="12"/>
        <rFont val="Arial"/>
        <charset val="134"/>
      </rPr>
      <t xml:space="preserve"> Contact</t>
    </r>
    <r>
      <rPr>
        <b/>
        <sz val="12"/>
        <rFont val="宋体"/>
        <charset val="134"/>
      </rPr>
      <t>：</t>
    </r>
  </si>
  <si>
    <r>
      <rPr>
        <b/>
        <sz val="12"/>
        <rFont val="Arial"/>
        <charset val="134"/>
      </rPr>
      <t xml:space="preserve">Tina Chang </t>
    </r>
    <r>
      <rPr>
        <b/>
        <sz val="12"/>
        <rFont val="宋体"/>
        <charset val="134"/>
      </rPr>
      <t>張玉君</t>
    </r>
  </si>
  <si>
    <r>
      <rPr>
        <b/>
        <sz val="12"/>
        <rFont val="宋体"/>
        <charset val="134"/>
      </rPr>
      <t>联系人</t>
    </r>
    <r>
      <rPr>
        <b/>
        <sz val="12"/>
        <rFont val="Arial"/>
        <charset val="134"/>
      </rPr>
      <t>Contact</t>
    </r>
    <r>
      <rPr>
        <b/>
        <sz val="12"/>
        <rFont val="宋体"/>
        <charset val="134"/>
      </rPr>
      <t>：</t>
    </r>
  </si>
  <si>
    <t>Flora Chow</t>
  </si>
  <si>
    <r>
      <rPr>
        <b/>
        <sz val="12"/>
        <rFont val="宋体"/>
        <charset val="134"/>
      </rPr>
      <t>电话</t>
    </r>
    <r>
      <rPr>
        <b/>
        <sz val="12"/>
        <rFont val="Arial"/>
        <charset val="134"/>
      </rPr>
      <t xml:space="preserve"> Tel</t>
    </r>
    <r>
      <rPr>
        <b/>
        <sz val="12"/>
        <rFont val="宋体"/>
        <charset val="134"/>
      </rPr>
      <t>：</t>
    </r>
  </si>
  <si>
    <t>886-3-371-4695</t>
  </si>
  <si>
    <r>
      <rPr>
        <b/>
        <sz val="12"/>
        <rFont val="宋体"/>
        <charset val="134"/>
      </rPr>
      <t>电话</t>
    </r>
    <r>
      <rPr>
        <b/>
        <sz val="12"/>
        <rFont val="Arial"/>
        <charset val="134"/>
      </rPr>
      <t>/Tel</t>
    </r>
    <r>
      <rPr>
        <b/>
        <sz val="12"/>
        <rFont val="宋体"/>
        <charset val="134"/>
      </rPr>
      <t>：</t>
    </r>
  </si>
  <si>
    <t>86+18028740351</t>
  </si>
  <si>
    <r>
      <rPr>
        <b/>
        <sz val="12"/>
        <rFont val="宋体"/>
        <charset val="134"/>
      </rPr>
      <t>电邮</t>
    </r>
    <r>
      <rPr>
        <b/>
        <sz val="12"/>
        <rFont val="Arial"/>
        <charset val="134"/>
      </rPr>
      <t>/Email:</t>
    </r>
  </si>
  <si>
    <t>tina0729tw@gmail.com</t>
  </si>
  <si>
    <t>Flora.Chow@sunstaropto.com</t>
  </si>
  <si>
    <r>
      <rPr>
        <b/>
        <sz val="12"/>
        <rFont val="宋体"/>
        <charset val="134"/>
      </rPr>
      <t>一、销售明细</t>
    </r>
    <r>
      <rPr>
        <b/>
        <sz val="12"/>
        <rFont val="Arial"/>
        <charset val="134"/>
      </rPr>
      <t xml:space="preserve"> Details:</t>
    </r>
  </si>
  <si>
    <r>
      <rPr>
        <b/>
        <sz val="12"/>
        <rFont val="宋体"/>
        <charset val="134"/>
      </rPr>
      <t>序号</t>
    </r>
    <r>
      <rPr>
        <b/>
        <sz val="12"/>
        <rFont val="Arial"/>
        <charset val="134"/>
      </rPr>
      <t xml:space="preserve">
Item</t>
    </r>
  </si>
  <si>
    <r>
      <rPr>
        <b/>
        <sz val="12"/>
        <rFont val="宋体"/>
        <charset val="134"/>
      </rPr>
      <t>产品品牌</t>
    </r>
    <r>
      <rPr>
        <b/>
        <sz val="12"/>
        <rFont val="Arial"/>
        <charset val="134"/>
      </rPr>
      <t>/</t>
    </r>
    <r>
      <rPr>
        <b/>
        <sz val="12"/>
        <rFont val="宋体"/>
        <charset val="134"/>
      </rPr>
      <t>型号</t>
    </r>
    <r>
      <rPr>
        <b/>
        <sz val="12"/>
        <rFont val="Arial"/>
        <charset val="134"/>
      </rPr>
      <t xml:space="preserve">
Brand/Model</t>
    </r>
  </si>
  <si>
    <r>
      <rPr>
        <b/>
        <sz val="12"/>
        <rFont val="宋体"/>
        <charset val="134"/>
      </rPr>
      <t>产品描述</t>
    </r>
    <r>
      <rPr>
        <b/>
        <sz val="12"/>
        <rFont val="Arial"/>
        <charset val="134"/>
      </rPr>
      <t>/Description</t>
    </r>
  </si>
  <si>
    <r>
      <rPr>
        <b/>
        <sz val="12"/>
        <rFont val="宋体"/>
        <charset val="134"/>
      </rPr>
      <t>币别</t>
    </r>
    <r>
      <rPr>
        <b/>
        <sz val="12"/>
        <rFont val="Arial"/>
        <charset val="134"/>
      </rPr>
      <t xml:space="preserve">
Currency</t>
    </r>
  </si>
  <si>
    <r>
      <rPr>
        <b/>
        <sz val="12"/>
        <rFont val="宋体"/>
        <charset val="134"/>
      </rPr>
      <t>数量</t>
    </r>
    <r>
      <rPr>
        <b/>
        <sz val="12"/>
        <rFont val="Arial"/>
        <charset val="134"/>
      </rPr>
      <t>/Qty.</t>
    </r>
  </si>
  <si>
    <r>
      <rPr>
        <b/>
        <sz val="12"/>
        <rFont val="宋体"/>
        <charset val="134"/>
      </rPr>
      <t>价格</t>
    </r>
    <r>
      <rPr>
        <b/>
        <sz val="12"/>
        <rFont val="Arial"/>
        <charset val="134"/>
      </rPr>
      <t xml:space="preserve">
Unit Price</t>
    </r>
  </si>
  <si>
    <r>
      <rPr>
        <b/>
        <sz val="12"/>
        <rFont val="宋体"/>
        <charset val="134"/>
      </rPr>
      <t>总价</t>
    </r>
    <r>
      <rPr>
        <b/>
        <sz val="12"/>
        <rFont val="Arial"/>
        <charset val="134"/>
      </rPr>
      <t>/TOTAL</t>
    </r>
  </si>
  <si>
    <t>Remark</t>
  </si>
  <si>
    <t>TY91560W04</t>
  </si>
  <si>
    <t>TY-915+/-10NM-60.0W-25C-105-0.22NA</t>
  </si>
  <si>
    <t>US$</t>
  </si>
  <si>
    <t>4 Weeks</t>
  </si>
  <si>
    <t>TOTAL:</t>
  </si>
  <si>
    <r>
      <rPr>
        <b/>
        <sz val="12"/>
        <rFont val="宋体"/>
        <charset val="134"/>
      </rPr>
      <t>二、交货条件</t>
    </r>
    <r>
      <rPr>
        <b/>
        <sz val="12"/>
        <rFont val="Arial"/>
        <charset val="134"/>
      </rPr>
      <t xml:space="preserve"> Delivery term:</t>
    </r>
  </si>
  <si>
    <t>FOB</t>
  </si>
  <si>
    <r>
      <rPr>
        <b/>
        <sz val="12"/>
        <rFont val="Arial"/>
        <charset val="134"/>
      </rPr>
      <t xml:space="preserve">  2.1.</t>
    </r>
    <r>
      <rPr>
        <b/>
        <sz val="12"/>
        <rFont val="宋体"/>
        <charset val="134"/>
      </rPr>
      <t>交货日期</t>
    </r>
    <r>
      <rPr>
        <b/>
        <sz val="12"/>
        <rFont val="Arial"/>
        <charset val="134"/>
      </rPr>
      <t xml:space="preserve"> Handover date:</t>
    </r>
  </si>
  <si>
    <r>
      <rPr>
        <sz val="12"/>
        <rFont val="Arial"/>
        <charset val="134"/>
      </rPr>
      <t xml:space="preserve">4 Weeks </t>
    </r>
    <r>
      <rPr>
        <sz val="12"/>
        <color rgb="FF0913E3"/>
        <rFont val="Arial"/>
        <charset val="134"/>
      </rPr>
      <t xml:space="preserve"> (The delivery time of the product is calculated from the date when the bank receives the payment.)</t>
    </r>
  </si>
  <si>
    <r>
      <rPr>
        <b/>
        <sz val="12"/>
        <rFont val="Arial"/>
        <charset val="134"/>
      </rPr>
      <t xml:space="preserve">  2.2.</t>
    </r>
    <r>
      <rPr>
        <b/>
        <sz val="12"/>
        <rFont val="宋体"/>
        <charset val="134"/>
      </rPr>
      <t>双方条件</t>
    </r>
    <r>
      <rPr>
        <b/>
        <sz val="12"/>
        <rFont val="Arial"/>
        <charset val="134"/>
      </rPr>
      <t xml:space="preserve"> Business condition</t>
    </r>
  </si>
  <si>
    <r>
      <rPr>
        <sz val="12"/>
        <rFont val="宋体"/>
        <charset val="134"/>
      </rPr>
      <t>买方应承担运费、保险费、进出口手续办理费、海关清关费、关税、税费、经纪费以及与运输或进口相关的其他一切费用。</t>
    </r>
    <r>
      <rPr>
        <b/>
        <sz val="12"/>
        <rFont val="Arial"/>
        <charset val="134"/>
      </rPr>
      <t xml:space="preserve">                                                                                                                                    </t>
    </r>
    <r>
      <rPr>
        <sz val="12"/>
        <rFont val="Arial"/>
        <charset val="134"/>
      </rPr>
      <t xml:space="preserve">The buyer will be responsible for freight, insurance, export/import handling, customs clearance, duties, tariffs, taxes, brokerage, and any other shipping or import-related charges.                                                          </t>
    </r>
  </si>
  <si>
    <r>
      <rPr>
        <b/>
        <sz val="12"/>
        <rFont val="宋体"/>
        <charset val="134"/>
      </rPr>
      <t>三、付款条件</t>
    </r>
    <r>
      <rPr>
        <b/>
        <sz val="12"/>
        <rFont val="Arial"/>
        <charset val="134"/>
      </rPr>
      <t xml:space="preserve"> Payment term</t>
    </r>
    <r>
      <rPr>
        <b/>
        <sz val="12"/>
        <rFont val="宋体"/>
        <charset val="134"/>
      </rPr>
      <t>：</t>
    </r>
  </si>
  <si>
    <r>
      <rPr>
        <sz val="11"/>
        <color rgb="FFFF0000"/>
        <rFont val="Arial"/>
        <charset val="134"/>
      </rPr>
      <t>3.1.</t>
    </r>
    <r>
      <rPr>
        <sz val="11"/>
        <color rgb="FFFF0000"/>
        <rFont val="宋体"/>
        <charset val="134"/>
      </rPr>
      <t>付款方式：预付后乙方安排出货。</t>
    </r>
    <r>
      <rPr>
        <sz val="11"/>
        <color rgb="FFFF0000"/>
        <rFont val="Arial"/>
        <charset val="134"/>
      </rPr>
      <t xml:space="preserve"> Payment term: 100% payment in advance.  </t>
    </r>
    <r>
      <rPr>
        <sz val="11"/>
        <color rgb="FF0913E3"/>
        <rFont val="Arial"/>
        <charset val="134"/>
      </rPr>
      <t>(The contract is effective after both parties sign it, and the buyer needs to prepay 100%.)</t>
    </r>
  </si>
  <si>
    <r>
      <rPr>
        <b/>
        <sz val="11"/>
        <rFont val="宋体"/>
        <charset val="134"/>
      </rPr>
      <t>五、本订单经邮件</t>
    </r>
    <r>
      <rPr>
        <b/>
        <sz val="11"/>
        <rFont val="Arial"/>
        <charset val="134"/>
      </rPr>
      <t>/</t>
    </r>
    <r>
      <rPr>
        <b/>
        <sz val="11"/>
        <rFont val="宋体"/>
        <charset val="134"/>
      </rPr>
      <t>传真发送及确认即具有法律效力。扫描件，复印件与原件具同等法律效力。</t>
    </r>
    <r>
      <rPr>
        <b/>
        <sz val="11"/>
        <rFont val="Arial"/>
        <charset val="134"/>
      </rPr>
      <t xml:space="preserve">
This order shall have legal effect once sent and confirmed by email / fax. The scanned copy and the copy have the same legal effect as the original.email / fax.</t>
    </r>
  </si>
  <si>
    <t>买方/Buyer：</t>
  </si>
  <si>
    <t>卖方/Seller：</t>
  </si>
  <si>
    <r>
      <rPr>
        <b/>
        <sz val="12"/>
        <rFont val="宋体"/>
        <charset val="134"/>
      </rPr>
      <t>签章</t>
    </r>
    <r>
      <rPr>
        <b/>
        <sz val="12"/>
        <rFont val="Arial"/>
        <charset val="134"/>
      </rPr>
      <t>Signature &amp; Stamp</t>
    </r>
    <r>
      <rPr>
        <b/>
        <sz val="12"/>
        <rFont val="宋体"/>
        <charset val="134"/>
      </rPr>
      <t>：</t>
    </r>
  </si>
  <si>
    <r>
      <rPr>
        <b/>
        <sz val="12"/>
        <color theme="1"/>
        <rFont val="宋体"/>
        <charset val="134"/>
      </rPr>
      <t>日期</t>
    </r>
    <r>
      <rPr>
        <b/>
        <sz val="12"/>
        <color theme="1"/>
        <rFont val="Arial"/>
        <charset val="134"/>
      </rPr>
      <t xml:space="preserve"> Date</t>
    </r>
    <r>
      <rPr>
        <b/>
        <sz val="12"/>
        <color theme="1"/>
        <rFont val="宋体"/>
        <charset val="134"/>
      </rPr>
      <t>：</t>
    </r>
  </si>
  <si>
    <t>Commercial invoice</t>
  </si>
  <si>
    <t>商业发票</t>
  </si>
  <si>
    <t>Invoice No. 2608006</t>
  </si>
  <si>
    <t>SO.: ST2608005</t>
  </si>
  <si>
    <t>Date:2026-8-6</t>
  </si>
  <si>
    <r>
      <rPr>
        <sz val="11"/>
        <rFont val="Arial"/>
        <charset val="0"/>
      </rPr>
      <t>Seller(</t>
    </r>
    <r>
      <rPr>
        <sz val="11"/>
        <rFont val="宋体"/>
        <charset val="0"/>
      </rPr>
      <t>卖方公司</t>
    </r>
    <r>
      <rPr>
        <sz val="11"/>
        <rFont val="Arial"/>
        <charset val="0"/>
      </rPr>
      <t>):Shenzhen SunStar Optical Electronics Company, LTD</t>
    </r>
  </si>
  <si>
    <r>
      <rPr>
        <sz val="11"/>
        <rFont val="Arial"/>
        <charset val="0"/>
      </rPr>
      <t>Trade terms</t>
    </r>
    <r>
      <rPr>
        <sz val="11"/>
        <rFont val="宋体"/>
        <charset val="0"/>
      </rPr>
      <t>成交方式：</t>
    </r>
    <r>
      <rPr>
        <sz val="11"/>
        <rFont val="Arial"/>
        <charset val="0"/>
      </rPr>
      <t xml:space="preserve"> FOB</t>
    </r>
  </si>
  <si>
    <t>（深圳市旭思达光电科技有限公司）</t>
  </si>
  <si>
    <r>
      <rPr>
        <sz val="11"/>
        <rFont val="Arial"/>
        <charset val="0"/>
      </rPr>
      <t>Contact person(</t>
    </r>
    <r>
      <rPr>
        <sz val="11"/>
        <rFont val="宋体"/>
        <charset val="0"/>
      </rPr>
      <t>联系人</t>
    </r>
    <r>
      <rPr>
        <sz val="11"/>
        <rFont val="Arial"/>
        <charset val="0"/>
      </rPr>
      <t>): Flora
Address(</t>
    </r>
    <r>
      <rPr>
        <sz val="11"/>
        <rFont val="宋体"/>
        <charset val="0"/>
      </rPr>
      <t>地址</t>
    </r>
    <r>
      <rPr>
        <sz val="11"/>
        <rFont val="Arial"/>
        <charset val="0"/>
      </rPr>
      <t>):Room 602, Jingfeng Building, No. 42
Wuhedadao (South), Nankun Community,
Bantian Subdistrict, Longgang District,Shenzhen,China</t>
    </r>
  </si>
  <si>
    <r>
      <rPr>
        <sz val="11"/>
        <rFont val="Arial"/>
        <charset val="0"/>
      </rPr>
      <t>Phone NO(</t>
    </r>
    <r>
      <rPr>
        <sz val="11"/>
        <rFont val="宋体"/>
        <charset val="0"/>
      </rPr>
      <t>电话</t>
    </r>
    <r>
      <rPr>
        <sz val="11"/>
        <rFont val="Arial"/>
        <charset val="0"/>
      </rPr>
      <t>): 86+18028740351</t>
    </r>
  </si>
  <si>
    <r>
      <rPr>
        <sz val="11"/>
        <rFont val="Arial"/>
        <charset val="0"/>
      </rPr>
      <t>Buyer(</t>
    </r>
    <r>
      <rPr>
        <sz val="11"/>
        <rFont val="宋体"/>
        <charset val="0"/>
      </rPr>
      <t>买方公司</t>
    </r>
    <r>
      <rPr>
        <sz val="11"/>
        <rFont val="Arial"/>
        <charset val="0"/>
      </rPr>
      <t>):Cleverwave Tech,Inc.</t>
    </r>
    <r>
      <rPr>
        <sz val="11"/>
        <rFont val="宋体"/>
        <charset val="0"/>
      </rPr>
      <t>（虹竣科技有限公司）</t>
    </r>
  </si>
  <si>
    <r>
      <rPr>
        <sz val="11"/>
        <rFont val="Arial"/>
        <charset val="0"/>
      </rPr>
      <t>Contact person(</t>
    </r>
    <r>
      <rPr>
        <sz val="11"/>
        <rFont val="宋体"/>
        <charset val="0"/>
      </rPr>
      <t>联系人</t>
    </r>
    <r>
      <rPr>
        <sz val="11"/>
        <rFont val="Arial"/>
        <charset val="0"/>
      </rPr>
      <t xml:space="preserve">): Tina Chang </t>
    </r>
    <r>
      <rPr>
        <sz val="11"/>
        <rFont val="宋体"/>
        <charset val="0"/>
      </rPr>
      <t>張玉君</t>
    </r>
  </si>
  <si>
    <r>
      <rPr>
        <sz val="11"/>
        <rFont val="Arial"/>
        <charset val="0"/>
      </rPr>
      <t>Address(</t>
    </r>
    <r>
      <rPr>
        <sz val="11"/>
        <rFont val="宋体"/>
        <charset val="0"/>
      </rPr>
      <t>地址</t>
    </r>
    <r>
      <rPr>
        <sz val="11"/>
        <rFont val="Arial"/>
        <charset val="0"/>
      </rPr>
      <t>):  330058</t>
    </r>
    <r>
      <rPr>
        <sz val="11"/>
        <rFont val="宋体"/>
        <charset val="0"/>
      </rPr>
      <t>桃園市桃園區大仁路</t>
    </r>
    <r>
      <rPr>
        <sz val="11"/>
        <rFont val="Arial"/>
        <charset val="0"/>
      </rPr>
      <t>30</t>
    </r>
    <r>
      <rPr>
        <sz val="11"/>
        <rFont val="宋体"/>
        <charset val="0"/>
      </rPr>
      <t>號</t>
    </r>
    <r>
      <rPr>
        <sz val="11"/>
        <rFont val="Arial"/>
        <charset val="0"/>
      </rPr>
      <t>1</t>
    </r>
    <r>
      <rPr>
        <sz val="11"/>
        <rFont val="宋体"/>
        <charset val="0"/>
      </rPr>
      <t>樓</t>
    </r>
    <r>
      <rPr>
        <sz val="11"/>
        <rFont val="Arial"/>
        <charset val="0"/>
      </rPr>
      <t xml:space="preserve">                                    </t>
    </r>
    <r>
      <rPr>
        <sz val="11"/>
        <rFont val="宋体"/>
        <charset val="0"/>
      </rPr>
      <t>　　　　　　　　　　　　　　　　　　　　　　　　　　　　　　　　　　　</t>
    </r>
    <r>
      <rPr>
        <sz val="11"/>
        <rFont val="Arial"/>
        <charset val="0"/>
      </rPr>
      <t xml:space="preserve">                  1F, No.30, Daren Road, Taoyuan Dist.,
Taoyuan City, 330, Taiwan</t>
    </r>
  </si>
  <si>
    <r>
      <rPr>
        <sz val="11"/>
        <rFont val="Arial"/>
        <charset val="0"/>
      </rPr>
      <t>Phone NO(</t>
    </r>
    <r>
      <rPr>
        <sz val="11"/>
        <rFont val="宋体"/>
        <charset val="0"/>
      </rPr>
      <t>电话</t>
    </r>
    <r>
      <rPr>
        <sz val="11"/>
        <rFont val="Arial"/>
        <charset val="0"/>
      </rPr>
      <t>): 886-3-371-4695</t>
    </r>
  </si>
  <si>
    <r>
      <rPr>
        <b/>
        <sz val="11"/>
        <rFont val="Arial"/>
        <charset val="0"/>
      </rPr>
      <t>Name of goods</t>
    </r>
    <r>
      <rPr>
        <b/>
        <sz val="11"/>
        <rFont val="宋体"/>
        <charset val="134"/>
      </rPr>
      <t>（商品名称）</t>
    </r>
  </si>
  <si>
    <r>
      <rPr>
        <b/>
        <sz val="11"/>
        <rFont val="Arial"/>
        <charset val="0"/>
      </rPr>
      <t>Description</t>
    </r>
    <r>
      <rPr>
        <b/>
        <sz val="11"/>
        <rFont val="宋体"/>
        <charset val="0"/>
      </rPr>
      <t>（产品描述）</t>
    </r>
  </si>
  <si>
    <r>
      <rPr>
        <b/>
        <sz val="11"/>
        <rFont val="Arial"/>
        <charset val="0"/>
      </rPr>
      <t>Quantity</t>
    </r>
    <r>
      <rPr>
        <b/>
        <sz val="11"/>
        <rFont val="宋体"/>
        <charset val="134"/>
      </rPr>
      <t>（数量）</t>
    </r>
  </si>
  <si>
    <r>
      <rPr>
        <b/>
        <sz val="11"/>
        <rFont val="Arial"/>
        <charset val="0"/>
      </rPr>
      <t xml:space="preserve">Unit </t>
    </r>
    <r>
      <rPr>
        <b/>
        <sz val="11"/>
        <rFont val="宋体"/>
        <charset val="134"/>
      </rPr>
      <t>（单位）</t>
    </r>
  </si>
  <si>
    <t>Unit value</t>
  </si>
  <si>
    <t>Total value</t>
  </si>
  <si>
    <t>Diode  TY91560W04</t>
  </si>
  <si>
    <t>PCS</t>
  </si>
  <si>
    <t>Total value:</t>
  </si>
  <si>
    <t>Beneficiary Bank/Creditor Agent:</t>
  </si>
  <si>
    <t>CHINA MERCHANTS BANK, HEAD OFFICE,</t>
  </si>
  <si>
    <t>SHENZHEN, P.R.CHINA</t>
  </si>
  <si>
    <t>SWIFT: CMBCCNBSXXX</t>
  </si>
  <si>
    <t>Beneficiary/Creditor:</t>
  </si>
  <si>
    <r>
      <rPr>
        <sz val="10.5"/>
        <color rgb="FF63728B"/>
        <rFont val="微软雅黑"/>
        <charset val="0"/>
      </rPr>
      <t xml:space="preserve">NAME: </t>
    </r>
    <r>
      <rPr>
        <sz val="10.5"/>
        <color rgb="FF080A0D"/>
        <rFont val="微软雅黑"/>
        <charset val="0"/>
      </rPr>
      <t>Shenzhen SunStar Optical Electronics Company, LTD</t>
    </r>
  </si>
  <si>
    <r>
      <rPr>
        <sz val="10.5"/>
        <color rgb="FF63728B"/>
        <rFont val="微软雅黑"/>
        <charset val="0"/>
      </rPr>
      <t xml:space="preserve">ADDRESS: </t>
    </r>
    <r>
      <rPr>
        <sz val="10.5"/>
        <color rgb="FF080A0D"/>
        <rFont val="微软雅黑"/>
        <charset val="0"/>
      </rPr>
      <t>Room 602, Jingfeng Building, No. 42 Wuhedadao (South), Bantian</t>
    </r>
  </si>
  <si>
    <t>Street, Shenzhen, China</t>
  </si>
  <si>
    <r>
      <rPr>
        <sz val="10.5"/>
        <color rgb="FF63728B"/>
        <rFont val="微软雅黑"/>
        <charset val="0"/>
      </rPr>
      <t xml:space="preserve">ACCOUNT NO.: </t>
    </r>
    <r>
      <rPr>
        <sz val="10.5"/>
        <color rgb="FF080A0D"/>
        <rFont val="微软雅黑"/>
        <charset val="0"/>
      </rPr>
      <t>755984586699001</t>
    </r>
  </si>
  <si>
    <t>Seller's signature/chop</t>
  </si>
  <si>
    <t>Packing List</t>
  </si>
  <si>
    <t>装箱单</t>
  </si>
  <si>
    <t>Packing No.</t>
  </si>
  <si>
    <t>Data:</t>
  </si>
  <si>
    <t xml:space="preserve"> 2026-8-6</t>
  </si>
  <si>
    <r>
      <rPr>
        <sz val="10"/>
        <rFont val="Arial"/>
        <charset val="0"/>
      </rPr>
      <t>Seller(</t>
    </r>
    <r>
      <rPr>
        <sz val="10"/>
        <rFont val="宋体"/>
        <charset val="0"/>
      </rPr>
      <t>卖方公司</t>
    </r>
    <r>
      <rPr>
        <sz val="10"/>
        <rFont val="Arial"/>
        <charset val="0"/>
      </rPr>
      <t>): Shenzhen SunStar Optical Electronics Company, LTD</t>
    </r>
  </si>
  <si>
    <t>PO.:</t>
  </si>
  <si>
    <t xml:space="preserve"> 1578/SUNSTAROPTO</t>
  </si>
  <si>
    <r>
      <rPr>
        <sz val="10"/>
        <rFont val="Arial"/>
        <charset val="0"/>
      </rPr>
      <t>Contact person(</t>
    </r>
    <r>
      <rPr>
        <sz val="10"/>
        <rFont val="宋体"/>
        <charset val="134"/>
      </rPr>
      <t>联系人</t>
    </r>
    <r>
      <rPr>
        <sz val="10"/>
        <rFont val="Arial"/>
        <charset val="0"/>
      </rPr>
      <t>): Flora
Address(</t>
    </r>
    <r>
      <rPr>
        <sz val="10"/>
        <rFont val="宋体"/>
        <charset val="134"/>
      </rPr>
      <t>地址</t>
    </r>
    <r>
      <rPr>
        <sz val="10"/>
        <rFont val="Arial"/>
        <charset val="0"/>
      </rPr>
      <t>):Room 602, Jingfeng Building, No. 42
Wuhedadao (South), Nankun Community,
Bantian Subdistrict, Longgang District,Shenzhen,
China</t>
    </r>
  </si>
  <si>
    <r>
      <rPr>
        <sz val="10"/>
        <rFont val="Arial"/>
        <charset val="0"/>
      </rPr>
      <t>Phone NO(</t>
    </r>
    <r>
      <rPr>
        <sz val="10"/>
        <rFont val="宋体"/>
        <charset val="134"/>
      </rPr>
      <t>电话</t>
    </r>
    <r>
      <rPr>
        <sz val="10"/>
        <rFont val="Arial"/>
        <charset val="0"/>
      </rPr>
      <t>): 18028740351</t>
    </r>
  </si>
  <si>
    <r>
      <rPr>
        <sz val="10"/>
        <rFont val="Arial"/>
        <charset val="0"/>
      </rPr>
      <t>Buyer(</t>
    </r>
    <r>
      <rPr>
        <sz val="10"/>
        <rFont val="宋体"/>
        <charset val="0"/>
      </rPr>
      <t>买方公司</t>
    </r>
    <r>
      <rPr>
        <sz val="10"/>
        <rFont val="Arial"/>
        <charset val="0"/>
      </rPr>
      <t>): Sheaumann Laser, Inc.</t>
    </r>
  </si>
  <si>
    <r>
      <rPr>
        <sz val="10"/>
        <rFont val="Arial"/>
        <charset val="0"/>
      </rPr>
      <t>Contact person(</t>
    </r>
    <r>
      <rPr>
        <sz val="10"/>
        <rFont val="宋体"/>
        <charset val="134"/>
      </rPr>
      <t>联系人</t>
    </r>
    <r>
      <rPr>
        <sz val="10"/>
        <rFont val="Arial"/>
        <charset val="0"/>
      </rPr>
      <t>):  Jessica Wang</t>
    </r>
  </si>
  <si>
    <r>
      <rPr>
        <sz val="10"/>
        <rFont val="Arial"/>
        <charset val="0"/>
      </rPr>
      <t>Address(</t>
    </r>
    <r>
      <rPr>
        <sz val="10"/>
        <rFont val="宋体"/>
        <charset val="134"/>
      </rPr>
      <t>地址</t>
    </r>
    <r>
      <rPr>
        <sz val="10"/>
        <rFont val="Arial"/>
        <charset val="0"/>
      </rPr>
      <t>):  5 Federal St Billerica, MA 01821</t>
    </r>
  </si>
  <si>
    <r>
      <rPr>
        <sz val="10"/>
        <rFont val="Arial"/>
        <charset val="0"/>
      </rPr>
      <t>Phone NO(</t>
    </r>
    <r>
      <rPr>
        <sz val="10"/>
        <rFont val="宋体"/>
        <charset val="134"/>
      </rPr>
      <t>电话</t>
    </r>
    <r>
      <rPr>
        <sz val="10"/>
        <rFont val="Arial"/>
        <charset val="0"/>
      </rPr>
      <t>):  508 970 0600</t>
    </r>
  </si>
  <si>
    <r>
      <rPr>
        <b/>
        <sz val="10"/>
        <rFont val="Arial"/>
        <charset val="0"/>
      </rPr>
      <t>Name of goods</t>
    </r>
    <r>
      <rPr>
        <b/>
        <sz val="10"/>
        <rFont val="宋体"/>
        <charset val="0"/>
      </rPr>
      <t>（商品名称）</t>
    </r>
  </si>
  <si>
    <r>
      <rPr>
        <b/>
        <sz val="10"/>
        <rFont val="Arial"/>
        <charset val="0"/>
      </rPr>
      <t>Description</t>
    </r>
    <r>
      <rPr>
        <b/>
        <sz val="10"/>
        <rFont val="宋体"/>
        <charset val="0"/>
      </rPr>
      <t>（产品描述）</t>
    </r>
  </si>
  <si>
    <r>
      <rPr>
        <b/>
        <sz val="10"/>
        <rFont val="Arial"/>
        <charset val="0"/>
      </rPr>
      <t>Quantity</t>
    </r>
    <r>
      <rPr>
        <b/>
        <sz val="10"/>
        <rFont val="宋体"/>
        <charset val="134"/>
      </rPr>
      <t>（数量）</t>
    </r>
  </si>
  <si>
    <r>
      <rPr>
        <b/>
        <sz val="10"/>
        <rFont val="Arial"/>
        <charset val="0"/>
      </rPr>
      <t xml:space="preserve">Unit </t>
    </r>
    <r>
      <rPr>
        <b/>
        <sz val="10"/>
        <rFont val="宋体"/>
        <charset val="134"/>
      </rPr>
      <t>（单位）</t>
    </r>
  </si>
  <si>
    <t>Net weight(KG)</t>
  </si>
  <si>
    <t>Gross weight(KG)</t>
  </si>
  <si>
    <t>Diode TY80850W22</t>
  </si>
  <si>
    <t>TY-V-0808-050W-0.22NA-105</t>
  </si>
  <si>
    <t>2.3KG</t>
  </si>
  <si>
    <t>Total No of pkgs: 1</t>
  </si>
  <si>
    <t>Trade terms成交方式：</t>
  </si>
  <si>
    <r>
      <rPr>
        <sz val="10"/>
        <rFont val="Arial"/>
        <charset val="0"/>
      </rPr>
      <t>Country of Origin(</t>
    </r>
    <r>
      <rPr>
        <sz val="10"/>
        <rFont val="宋体"/>
        <charset val="134"/>
      </rPr>
      <t>原厂国）</t>
    </r>
  </si>
  <si>
    <t>CHINA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</si>
</sst>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&quot;US$&quot;#,##0.00;\-&quot;US$&quot;#,##0.00"/>
    <numFmt numFmtId="178" formatCode="&quot;US$&quot;#,##0.00_);[Red]\(&quot;US$&quot;#,##0.00\)"/>
    <numFmt numFmtId="179" formatCode="#,##0_);[Red]\(#,##0\)"/>
  </numFmts>
  <fonts count="69">
    <font>
      <sz val="10"/>
      <name val="Arial"/>
      <charset val="0"/>
    </font>
    <font>
      <b/>
      <sz val="10"/>
      <name val="Arial"/>
      <charset val="0"/>
    </font>
    <font>
      <sz val="16"/>
      <name val="Arial"/>
      <charset val="0"/>
    </font>
    <font>
      <sz val="14"/>
      <name val="Arial"/>
      <charset val="0"/>
    </font>
    <font>
      <sz val="10"/>
      <name val="宋体"/>
      <charset val="134"/>
    </font>
    <font>
      <sz val="9"/>
      <color indexed="8"/>
      <name val="Arial"/>
      <charset val="0"/>
    </font>
    <font>
      <sz val="11"/>
      <name val="Arial"/>
      <charset val="0"/>
    </font>
    <font>
      <b/>
      <sz val="11"/>
      <name val="Arial"/>
      <charset val="0"/>
    </font>
    <font>
      <b/>
      <sz val="20"/>
      <name val="Arial"/>
      <charset val="0"/>
    </font>
    <font>
      <b/>
      <sz val="20"/>
      <name val="宋体"/>
      <charset val="134"/>
    </font>
    <font>
      <sz val="11"/>
      <name val="宋体"/>
      <charset val="0"/>
    </font>
    <font>
      <b/>
      <sz val="12"/>
      <color rgb="FF041ABA"/>
      <name val="MicrosoftYaHei-Bold"/>
      <charset val="0"/>
    </font>
    <font>
      <sz val="11"/>
      <color indexed="8"/>
      <name val="Arial"/>
      <charset val="0"/>
    </font>
    <font>
      <sz val="10.5"/>
      <color rgb="FF080A0D"/>
      <name val="微软雅黑"/>
      <charset val="0"/>
    </font>
    <font>
      <sz val="10.5"/>
      <color rgb="FF63728B"/>
      <name val="微软雅黑"/>
      <charset val="0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u/>
      <sz val="16"/>
      <color theme="1"/>
      <name val="Arial"/>
      <charset val="134"/>
    </font>
    <font>
      <b/>
      <sz val="11"/>
      <color theme="1"/>
      <name val="Arial"/>
      <charset val="134"/>
    </font>
    <font>
      <b/>
      <sz val="28"/>
      <name val="宋体"/>
      <charset val="134"/>
    </font>
    <font>
      <b/>
      <sz val="18"/>
      <name val="Arial"/>
      <charset val="134"/>
    </font>
    <font>
      <b/>
      <sz val="12"/>
      <name val="Arial"/>
      <charset val="134"/>
    </font>
    <font>
      <b/>
      <sz val="12"/>
      <name val="宋体"/>
      <charset val="134"/>
    </font>
    <font>
      <b/>
      <sz val="14"/>
      <color rgb="FF000000"/>
      <name val="Arial"/>
      <charset val="134"/>
    </font>
    <font>
      <b/>
      <sz val="12"/>
      <color rgb="FF000000"/>
      <name val="Arial"/>
      <charset val="134"/>
    </font>
    <font>
      <b/>
      <sz val="12"/>
      <color theme="1"/>
      <name val="宋体"/>
      <charset val="134"/>
    </font>
    <font>
      <b/>
      <u/>
      <sz val="12"/>
      <color theme="1"/>
      <name val="Arial"/>
      <charset val="134"/>
    </font>
    <font>
      <b/>
      <u/>
      <sz val="11"/>
      <name val="Arial"/>
      <charset val="134"/>
    </font>
    <font>
      <sz val="12"/>
      <name val="Arial"/>
      <charset val="134"/>
    </font>
    <font>
      <u/>
      <sz val="16"/>
      <name val="Arial"/>
      <charset val="134"/>
    </font>
    <font>
      <b/>
      <u/>
      <sz val="16"/>
      <name val="Arial"/>
      <charset val="134"/>
    </font>
    <font>
      <b/>
      <sz val="16"/>
      <name val="Arial"/>
      <charset val="134"/>
    </font>
    <font>
      <sz val="16"/>
      <color theme="1"/>
      <name val="Arial"/>
      <charset val="134"/>
    </font>
    <font>
      <b/>
      <sz val="12"/>
      <color rgb="FF000000"/>
      <name val="宋体"/>
      <charset val="134"/>
    </font>
    <font>
      <sz val="12"/>
      <name val="宋体"/>
      <charset val="134"/>
    </font>
    <font>
      <sz val="11"/>
      <color rgb="FFFF0000"/>
      <name val="Arial"/>
      <charset val="134"/>
    </font>
    <font>
      <b/>
      <sz val="11"/>
      <name val="Arial"/>
      <charset val="134"/>
    </font>
    <font>
      <b/>
      <u/>
      <sz val="12"/>
      <name val="Arial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</font>
    <font>
      <sz val="11"/>
      <color rgb="FF0913E3"/>
      <name val="Arial"/>
      <charset val="134"/>
    </font>
    <font>
      <b/>
      <sz val="10"/>
      <name val="宋体"/>
      <charset val="134"/>
    </font>
    <font>
      <b/>
      <sz val="11"/>
      <name val="宋体"/>
      <charset val="134"/>
    </font>
    <font>
      <b/>
      <sz val="11"/>
      <name val="宋体"/>
      <charset val="0"/>
    </font>
    <font>
      <sz val="10"/>
      <name val="宋体"/>
      <charset val="0"/>
    </font>
    <font>
      <sz val="12"/>
      <color rgb="FF0913E3"/>
      <name val="Arial"/>
      <charset val="134"/>
    </font>
    <font>
      <sz val="11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8" fillId="0" borderId="0" applyFont="0" applyFill="0" applyBorder="0" applyAlignment="0" applyProtection="0">
      <alignment vertical="center"/>
    </xf>
    <xf numFmtId="44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4" borderId="11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48" fillId="0" borderId="12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5" borderId="14" applyNumberFormat="0" applyAlignment="0" applyProtection="0">
      <alignment vertical="center"/>
    </xf>
    <xf numFmtId="0" fontId="51" fillId="6" borderId="15" applyNumberFormat="0" applyAlignment="0" applyProtection="0">
      <alignment vertical="center"/>
    </xf>
    <xf numFmtId="0" fontId="52" fillId="6" borderId="14" applyNumberFormat="0" applyAlignment="0" applyProtection="0">
      <alignment vertical="center"/>
    </xf>
    <xf numFmtId="0" fontId="53" fillId="7" borderId="16" applyNumberFormat="0" applyAlignment="0" applyProtection="0">
      <alignment vertical="center"/>
    </xf>
    <xf numFmtId="0" fontId="54" fillId="0" borderId="17" applyNumberFormat="0" applyFill="0" applyAlignment="0" applyProtection="0">
      <alignment vertical="center"/>
    </xf>
    <xf numFmtId="0" fontId="55" fillId="0" borderId="18" applyNumberFormat="0" applyFill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</cellStyleXfs>
  <cellXfs count="13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/>
    </xf>
    <xf numFmtId="0" fontId="0" fillId="0" borderId="0" xfId="0" applyAlignment="1">
      <alignment horizontal="right"/>
    </xf>
    <xf numFmtId="17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Border="1"/>
    <xf numFmtId="0" fontId="0" fillId="0" borderId="0" xfId="0" applyBorder="1"/>
    <xf numFmtId="0" fontId="0" fillId="0" borderId="0" xfId="0" applyBorder="1" applyAlignment="1"/>
    <xf numFmtId="0" fontId="0" fillId="0" borderId="0" xfId="0" applyFont="1" applyAlignment="1">
      <alignment horizontal="left" wrapText="1"/>
    </xf>
    <xf numFmtId="0" fontId="0" fillId="0" borderId="0" xfId="0" applyFont="1"/>
    <xf numFmtId="0" fontId="0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ont="1" applyAlignment="1">
      <alignment horizontal="center"/>
    </xf>
    <xf numFmtId="0" fontId="5" fillId="0" borderId="0" xfId="0" applyFont="1" applyFill="1" applyBorder="1"/>
    <xf numFmtId="0" fontId="5" fillId="0" borderId="0" xfId="0" applyFont="1" applyFill="1"/>
    <xf numFmtId="0" fontId="6" fillId="0" borderId="0" xfId="0" applyFont="1"/>
    <xf numFmtId="0" fontId="6" fillId="0" borderId="0" xfId="0" applyFont="1" applyAlignment="1">
      <alignment vertical="top"/>
    </xf>
    <xf numFmtId="0" fontId="7" fillId="0" borderId="0" xfId="0" applyFont="1"/>
    <xf numFmtId="0" fontId="0" fillId="0" borderId="0" xfId="0" applyAlignment="1">
      <alignment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 applyBorder="1"/>
    <xf numFmtId="0" fontId="6" fillId="0" borderId="0" xfId="0" applyFont="1" applyBorder="1" applyAlignment="1"/>
    <xf numFmtId="0" fontId="6" fillId="0" borderId="0" xfId="0" applyFont="1" applyBorder="1" applyAlignment="1">
      <alignment horizontal="left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Border="1" applyAlignment="1">
      <alignment vertical="top"/>
    </xf>
    <xf numFmtId="0" fontId="6" fillId="0" borderId="0" xfId="0" applyFont="1" applyAlignment="1">
      <alignment wrapText="1"/>
    </xf>
    <xf numFmtId="0" fontId="6" fillId="0" borderId="0" xfId="0" applyFont="1" applyAlignment="1"/>
    <xf numFmtId="0" fontId="6" fillId="0" borderId="0" xfId="0" applyFont="1" applyAlignment="1">
      <alignment horizontal="left" wrapText="1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77" fontId="7" fillId="0" borderId="0" xfId="0" applyNumberFormat="1" applyFont="1"/>
    <xf numFmtId="0" fontId="11" fillId="0" borderId="0" xfId="0" applyFont="1"/>
    <xf numFmtId="0" fontId="12" fillId="0" borderId="0" xfId="0" applyFont="1" applyFill="1" applyBorder="1"/>
    <xf numFmtId="0" fontId="13" fillId="0" borderId="0" xfId="0" applyFont="1"/>
    <xf numFmtId="0" fontId="14" fillId="0" borderId="0" xfId="0" applyFont="1"/>
    <xf numFmtId="0" fontId="7" fillId="0" borderId="0" xfId="0" applyFont="1" applyBorder="1" applyAlignment="1">
      <alignment vertical="center"/>
    </xf>
    <xf numFmtId="0" fontId="15" fillId="0" borderId="0" xfId="0" applyFont="1" applyFill="1" applyAlignment="1">
      <alignment vertical="center"/>
    </xf>
    <xf numFmtId="0" fontId="15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vertical="center" wrapText="1"/>
    </xf>
    <xf numFmtId="0" fontId="17" fillId="0" borderId="0" xfId="0" applyFont="1" applyFill="1" applyAlignment="1">
      <alignment vertical="center" wrapText="1"/>
    </xf>
    <xf numFmtId="0" fontId="15" fillId="0" borderId="0" xfId="0" applyFont="1" applyFill="1" applyBorder="1" applyAlignment="1">
      <alignment vertical="center" wrapText="1"/>
    </xf>
    <xf numFmtId="0" fontId="15" fillId="2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19" fillId="0" borderId="0" xfId="0" applyFont="1" applyFill="1" applyAlignment="1">
      <alignment horizontal="center" vertical="center" wrapText="1"/>
    </xf>
    <xf numFmtId="0" fontId="20" fillId="0" borderId="0" xfId="0" applyFont="1" applyFill="1" applyAlignment="1">
      <alignment horizontal="center" vertical="center" wrapText="1"/>
    </xf>
    <xf numFmtId="0" fontId="21" fillId="0" borderId="0" xfId="0" applyFont="1" applyFill="1" applyAlignment="1">
      <alignment vertical="center"/>
    </xf>
    <xf numFmtId="0" fontId="22" fillId="0" borderId="0" xfId="0" applyFont="1" applyFill="1" applyAlignment="1">
      <alignment horizontal="left" vertical="center"/>
    </xf>
    <xf numFmtId="49" fontId="23" fillId="0" borderId="0" xfId="0" applyNumberFormat="1" applyFont="1" applyFill="1" applyAlignment="1">
      <alignment horizontal="left" vertical="center"/>
    </xf>
    <xf numFmtId="0" fontId="21" fillId="0" borderId="0" xfId="0" applyFont="1" applyFill="1" applyAlignment="1">
      <alignment horizontal="right"/>
    </xf>
    <xf numFmtId="49" fontId="24" fillId="0" borderId="0" xfId="0" applyNumberFormat="1" applyFont="1" applyFill="1" applyAlignment="1">
      <alignment horizontal="left"/>
    </xf>
    <xf numFmtId="0" fontId="25" fillId="0" borderId="0" xfId="0" applyFont="1" applyFill="1" applyAlignment="1">
      <alignment horizontal="left" vertical="center"/>
    </xf>
    <xf numFmtId="0" fontId="15" fillId="0" borderId="0" xfId="0" applyFont="1" applyFill="1" applyAlignment="1">
      <alignment horizontal="left" vertical="center"/>
    </xf>
    <xf numFmtId="0" fontId="21" fillId="0" borderId="0" xfId="0" applyFont="1" applyFill="1" applyAlignment="1">
      <alignment horizontal="left" vertical="center" wrapText="1"/>
    </xf>
    <xf numFmtId="0" fontId="15" fillId="0" borderId="0" xfId="0" applyFont="1" applyFill="1" applyAlignment="1">
      <alignment horizontal="left" wrapText="1"/>
    </xf>
    <xf numFmtId="0" fontId="21" fillId="0" borderId="0" xfId="0" applyFont="1" applyFill="1" applyAlignment="1">
      <alignment horizontal="left" vertical="top" wrapText="1"/>
    </xf>
    <xf numFmtId="0" fontId="15" fillId="0" borderId="0" xfId="0" applyFont="1" applyFill="1" applyAlignment="1">
      <alignment horizontal="left" vertical="center" wrapText="1"/>
    </xf>
    <xf numFmtId="0" fontId="21" fillId="0" borderId="0" xfId="0" applyFont="1" applyFill="1" applyAlignment="1">
      <alignment horizontal="left" wrapText="1"/>
    </xf>
    <xf numFmtId="0" fontId="26" fillId="0" borderId="0" xfId="0" applyFont="1" applyFill="1" applyAlignment="1">
      <alignment vertical="center"/>
    </xf>
    <xf numFmtId="0" fontId="27" fillId="0" borderId="0" xfId="6" applyFont="1" applyFill="1" applyAlignment="1" applyProtection="1">
      <alignment horizontal="left" vertical="center"/>
    </xf>
    <xf numFmtId="0" fontId="21" fillId="0" borderId="0" xfId="0" applyFont="1" applyFill="1" applyAlignment="1">
      <alignment horizontal="left" vertical="center"/>
    </xf>
    <xf numFmtId="0" fontId="22" fillId="0" borderId="0" xfId="0" applyFont="1" applyFill="1" applyAlignment="1">
      <alignment vertical="center"/>
    </xf>
    <xf numFmtId="0" fontId="21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28" fillId="0" borderId="8" xfId="0" applyFont="1" applyFill="1" applyBorder="1" applyAlignment="1">
      <alignment horizontal="center" vertical="center" wrapText="1"/>
    </xf>
    <xf numFmtId="0" fontId="28" fillId="0" borderId="2" xfId="0" applyFont="1" applyFill="1" applyBorder="1" applyAlignment="1">
      <alignment horizontal="center" vertical="center"/>
    </xf>
    <xf numFmtId="0" fontId="28" fillId="0" borderId="3" xfId="0" applyFont="1" applyFill="1" applyBorder="1" applyAlignment="1">
      <alignment horizontal="center" vertical="center"/>
    </xf>
    <xf numFmtId="0" fontId="28" fillId="0" borderId="4" xfId="0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28" fillId="0" borderId="4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3" fontId="28" fillId="0" borderId="1" xfId="0" applyNumberFormat="1" applyFont="1" applyFill="1" applyBorder="1" applyAlignment="1">
      <alignment horizontal="center" vertical="center" wrapText="1"/>
    </xf>
    <xf numFmtId="43" fontId="28" fillId="0" borderId="1" xfId="0" applyNumberFormat="1" applyFont="1" applyFill="1" applyBorder="1" applyAlignment="1">
      <alignment horizontal="left" vertical="center" wrapText="1"/>
    </xf>
    <xf numFmtId="178" fontId="28" fillId="0" borderId="1" xfId="0" applyNumberFormat="1" applyFont="1" applyFill="1" applyBorder="1" applyAlignment="1">
      <alignment horizontal="center" vertical="center" wrapText="1"/>
    </xf>
    <xf numFmtId="0" fontId="16" fillId="2" borderId="0" xfId="0" applyFont="1" applyFill="1" applyAlignment="1">
      <alignment vertical="center" wrapText="1"/>
    </xf>
    <xf numFmtId="0" fontId="29" fillId="0" borderId="3" xfId="0" applyFont="1" applyFill="1" applyBorder="1" applyAlignment="1">
      <alignment horizontal="center" vertical="center" wrapText="1"/>
    </xf>
    <xf numFmtId="3" fontId="29" fillId="0" borderId="3" xfId="0" applyNumberFormat="1" applyFont="1" applyFill="1" applyBorder="1" applyAlignment="1">
      <alignment horizontal="center" vertical="center" wrapText="1"/>
    </xf>
    <xf numFmtId="179" fontId="30" fillId="0" borderId="3" xfId="0" applyNumberFormat="1" applyFont="1" applyFill="1" applyBorder="1" applyAlignment="1">
      <alignment horizontal="center" vertical="center" wrapText="1"/>
    </xf>
    <xf numFmtId="178" fontId="31" fillId="0" borderId="3" xfId="0" applyNumberFormat="1" applyFont="1" applyFill="1" applyBorder="1" applyAlignment="1">
      <alignment horizontal="center" vertical="center" wrapText="1"/>
    </xf>
    <xf numFmtId="0" fontId="17" fillId="2" borderId="0" xfId="0" applyFont="1" applyFill="1" applyAlignment="1">
      <alignment vertical="center" wrapText="1"/>
    </xf>
    <xf numFmtId="0" fontId="32" fillId="0" borderId="0" xfId="0" applyFont="1" applyFill="1" applyAlignment="1">
      <alignment vertical="center" wrapText="1"/>
    </xf>
    <xf numFmtId="0" fontId="21" fillId="0" borderId="0" xfId="0" applyFont="1" applyFill="1" applyBorder="1" applyAlignment="1">
      <alignment horizontal="left" vertical="center" wrapText="1"/>
    </xf>
    <xf numFmtId="0" fontId="15" fillId="2" borderId="0" xfId="0" applyFont="1" applyFill="1" applyBorder="1" applyAlignment="1">
      <alignment vertical="center" wrapText="1"/>
    </xf>
    <xf numFmtId="0" fontId="33" fillId="0" borderId="9" xfId="0" applyFont="1" applyFill="1" applyBorder="1" applyAlignment="1">
      <alignment horizontal="left" vertical="center" wrapText="1"/>
    </xf>
    <xf numFmtId="0" fontId="24" fillId="0" borderId="9" xfId="0" applyFont="1" applyFill="1" applyBorder="1" applyAlignment="1">
      <alignment horizontal="left" vertical="center" wrapText="1"/>
    </xf>
    <xf numFmtId="31" fontId="28" fillId="0" borderId="10" xfId="0" applyNumberFormat="1" applyFont="1" applyFill="1" applyBorder="1" applyAlignment="1">
      <alignment horizontal="left" vertical="center" wrapText="1"/>
    </xf>
    <xf numFmtId="0" fontId="34" fillId="0" borderId="6" xfId="0" applyFont="1" applyFill="1" applyBorder="1" applyAlignment="1">
      <alignment horizontal="left" vertical="center" wrapText="1"/>
    </xf>
    <xf numFmtId="0" fontId="28" fillId="0" borderId="6" xfId="0" applyFont="1" applyFill="1" applyBorder="1" applyAlignment="1">
      <alignment horizontal="left" vertical="center" wrapText="1"/>
    </xf>
    <xf numFmtId="0" fontId="35" fillId="0" borderId="0" xfId="0" applyFont="1" applyFill="1" applyAlignment="1">
      <alignment horizontal="left" vertical="center" wrapText="1"/>
    </xf>
    <xf numFmtId="0" fontId="36" fillId="2" borderId="0" xfId="0" applyFont="1" applyFill="1" applyAlignment="1">
      <alignment horizontal="left" vertical="center" wrapText="1"/>
    </xf>
    <xf numFmtId="0" fontId="37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38" fillId="0" borderId="0" xfId="0" applyFont="1" applyFill="1" applyAlignment="1">
      <alignment vertical="center"/>
    </xf>
    <xf numFmtId="0" fontId="39" fillId="0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40" fillId="0" borderId="0" xfId="0" applyFont="1" applyFill="1" applyAlignment="1">
      <alignment horizontal="left"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1" fillId="3" borderId="0" xfId="0" applyFont="1" applyFill="1" applyAlignment="1">
      <alignment vertical="center"/>
    </xf>
    <xf numFmtId="0" fontId="0" fillId="0" borderId="0" xfId="0" applyFont="1" applyFill="1" applyAlignment="1">
      <alignment horizontal="left" vertical="center" wrapText="1"/>
    </xf>
    <xf numFmtId="0" fontId="40" fillId="0" borderId="0" xfId="0" applyFont="1" applyFill="1" applyAlignment="1">
      <alignment horizontal="center" vertical="center"/>
    </xf>
    <xf numFmtId="0" fontId="41" fillId="0" borderId="0" xfId="0" applyFont="1" applyFill="1" applyAlignment="1">
      <alignment vertical="center"/>
    </xf>
    <xf numFmtId="0" fontId="40" fillId="0" borderId="0" xfId="0" applyFont="1" applyFill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913E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tthieu.bourreau@aerodiod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ina0729tw@gmail.com" TargetMode="External"/><Relationship Id="rId2" Type="http://schemas.openxmlformats.org/officeDocument/2006/relationships/hyperlink" Target="mailto:matthieu.bourreau@aerodiode.com" TargetMode="External"/><Relationship Id="rId1" Type="http://schemas.openxmlformats.org/officeDocument/2006/relationships/hyperlink" Target="mailto:Flora.Chow@sunstaropt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I12"/>
  <sheetViews>
    <sheetView workbookViewId="0">
      <selection activeCell="B3" sqref="B3:D12"/>
    </sheetView>
  </sheetViews>
  <sheetFormatPr defaultColWidth="10.2857142857143" defaultRowHeight="13.5"/>
  <cols>
    <col min="1" max="1" width="10.2857142857143" style="123"/>
    <col min="2" max="2" width="26.4285714285714" style="123" customWidth="1"/>
    <col min="3" max="3" width="26.1428571428571" style="123" customWidth="1"/>
    <col min="4" max="4" width="29.4285714285714" style="123" customWidth="1"/>
    <col min="5" max="16384" width="10.2857142857143" style="123"/>
  </cols>
  <sheetData>
    <row r="3" ht="30" customHeight="1" spans="2:9">
      <c r="B3" s="124" t="s">
        <v>0</v>
      </c>
      <c r="C3" s="124"/>
      <c r="D3" s="124"/>
    </row>
    <row r="4" s="123" customFormat="1" ht="25" customHeight="1" spans="2:9">
      <c r="B4" s="125" t="s">
        <v>1</v>
      </c>
      <c r="C4" s="126" t="s">
        <v>2</v>
      </c>
      <c r="D4" s="126"/>
      <c r="E4" s="127"/>
      <c r="F4" s="127"/>
      <c r="G4" s="127"/>
      <c r="H4" s="127"/>
      <c r="I4" s="128"/>
    </row>
    <row r="5" s="123" customFormat="1" ht="25" customHeight="1" spans="2:9">
      <c r="B5" s="129" t="s">
        <v>3</v>
      </c>
      <c r="C5" s="126" t="s">
        <v>4</v>
      </c>
      <c r="D5" s="126"/>
      <c r="E5" s="128"/>
      <c r="F5" s="128"/>
      <c r="G5" s="128"/>
      <c r="H5" s="128"/>
      <c r="I5" s="128"/>
    </row>
    <row r="6" s="123" customFormat="1" ht="25" customHeight="1" spans="2:9">
      <c r="B6" s="130" t="s">
        <v>5</v>
      </c>
      <c r="C6" s="126" t="s">
        <v>6</v>
      </c>
      <c r="D6" s="126"/>
      <c r="E6" s="131"/>
      <c r="F6" s="131"/>
      <c r="G6" s="131"/>
      <c r="H6" s="131"/>
      <c r="I6" s="131"/>
    </row>
    <row r="7" s="123" customFormat="1" ht="25" customHeight="1" spans="2:9">
      <c r="B7" s="132" t="s">
        <v>7</v>
      </c>
      <c r="C7" s="136" t="s">
        <v>8</v>
      </c>
      <c r="D7" s="126"/>
      <c r="E7" s="133"/>
      <c r="F7" s="133"/>
      <c r="G7" s="133"/>
      <c r="H7" s="133"/>
      <c r="I7" s="127"/>
    </row>
    <row r="8" s="123" customFormat="1" ht="25" customHeight="1" spans="2:9">
      <c r="B8" s="132" t="s">
        <v>9</v>
      </c>
      <c r="C8" s="126"/>
      <c r="D8" s="126"/>
      <c r="E8" s="133"/>
      <c r="F8" s="133"/>
      <c r="G8" s="133"/>
      <c r="H8" s="133"/>
      <c r="I8" s="127"/>
    </row>
    <row r="9" s="123" customFormat="1" ht="25" customHeight="1" spans="2:9">
      <c r="B9" s="132" t="s">
        <v>10</v>
      </c>
      <c r="C9" s="126"/>
      <c r="D9" s="126"/>
      <c r="E9" s="133"/>
      <c r="F9" s="133"/>
      <c r="G9" s="133"/>
      <c r="H9" s="133"/>
      <c r="I9" s="127"/>
    </row>
    <row r="10" s="123" customFormat="1" ht="25" customHeight="1" spans="2:9">
      <c r="B10" s="132" t="s">
        <v>11</v>
      </c>
      <c r="C10" s="134"/>
      <c r="D10" s="134"/>
      <c r="E10" s="133"/>
      <c r="F10" s="133"/>
      <c r="G10" s="133"/>
      <c r="H10" s="133"/>
      <c r="I10" s="127"/>
    </row>
    <row r="11" s="123" customFormat="1" ht="25" customHeight="1" spans="2:9">
      <c r="B11" s="132" t="s">
        <v>12</v>
      </c>
      <c r="C11" s="134"/>
      <c r="D11" s="134"/>
      <c r="E11" s="133"/>
      <c r="F11" s="133"/>
      <c r="G11" s="133"/>
      <c r="H11" s="133"/>
      <c r="I11" s="127"/>
    </row>
    <row r="12" s="123" customFormat="1" ht="25" customHeight="1" spans="2:9">
      <c r="B12" s="135" t="s">
        <v>13</v>
      </c>
      <c r="C12" s="126" t="s">
        <v>14</v>
      </c>
      <c r="D12" s="126"/>
      <c r="E12" s="133"/>
      <c r="F12" s="133"/>
      <c r="G12" s="133"/>
      <c r="H12" s="133"/>
      <c r="I12" s="127"/>
    </row>
  </sheetData>
  <mergeCells count="10">
    <mergeCell ref="B3:D3"/>
    <mergeCell ref="C4:D4"/>
    <mergeCell ref="C5:D5"/>
    <mergeCell ref="C6:D6"/>
    <mergeCell ref="C7:D7"/>
    <mergeCell ref="C8:D8"/>
    <mergeCell ref="C9:D9"/>
    <mergeCell ref="C10:D10"/>
    <mergeCell ref="C11:D11"/>
    <mergeCell ref="C12:D12"/>
  </mergeCells>
  <hyperlinks>
    <hyperlink ref="C12" r:id="rId1" display="a.minassian@unilase.com"/>
  </hyperlink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29"/>
  <sheetViews>
    <sheetView showGridLines="0" view="pageBreakPreview" zoomScale="85" zoomScaleNormal="55" workbookViewId="0">
      <selection activeCell="C8" sqref="C8:G8"/>
    </sheetView>
  </sheetViews>
  <sheetFormatPr defaultColWidth="10.2857142857143" defaultRowHeight="15"/>
  <cols>
    <col min="1" max="1" width="13.9333333333333" style="69" customWidth="1"/>
    <col min="2" max="2" width="7.13333333333333" style="69" customWidth="1"/>
    <col min="3" max="3" width="9.57142857142857" style="69" customWidth="1"/>
    <col min="4" max="4" width="10.9238095238095" style="69" customWidth="1"/>
    <col min="5" max="5" width="9.57142857142857" style="69" customWidth="1"/>
    <col min="6" max="8" width="18.3238095238095" style="69" customWidth="1"/>
    <col min="9" max="9" width="15.4952380952381" style="69" customWidth="1"/>
    <col min="10" max="10" width="9.75238095238095" style="69" customWidth="1"/>
    <col min="11" max="11" width="19.6666666666667" style="69" customWidth="1"/>
    <col min="12" max="12" width="27" style="69" customWidth="1"/>
    <col min="13" max="13" width="27.3904761904762" style="69" customWidth="1"/>
    <col min="14" max="14" width="14.4380952380952" style="69" customWidth="1"/>
    <col min="15" max="16384" width="10.2857142857143" style="69"/>
  </cols>
  <sheetData>
    <row r="1" ht="72" customHeight="1" spans="1:19">
      <c r="A1" s="70" t="s">
        <v>15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</row>
    <row r="2" s="63" customFormat="1" ht="24" customHeight="1" spans="1:19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3" t="s">
        <v>16</v>
      </c>
      <c r="M2" s="74" t="s">
        <v>17</v>
      </c>
    </row>
    <row r="3" s="63" customFormat="1" ht="25" customHeight="1" spans="1:19">
      <c r="A3" s="72"/>
      <c r="B3" s="72"/>
      <c r="C3" s="72"/>
      <c r="D3" s="72"/>
      <c r="E3" s="72"/>
      <c r="F3" s="72"/>
      <c r="G3" s="72"/>
      <c r="H3" s="72"/>
      <c r="I3" s="72"/>
      <c r="J3" s="72"/>
      <c r="K3" s="75" t="s">
        <v>18</v>
      </c>
      <c r="L3" s="75"/>
      <c r="M3" s="76" t="s">
        <v>19</v>
      </c>
    </row>
    <row r="4" s="63" customFormat="1" ht="27" customHeight="1" spans="1:19">
      <c r="A4" s="77" t="s">
        <v>20</v>
      </c>
      <c r="B4" s="78"/>
      <c r="C4" s="79"/>
      <c r="D4" s="79"/>
      <c r="E4" s="79"/>
      <c r="F4" s="79"/>
      <c r="G4" s="79"/>
      <c r="K4" s="77" t="s">
        <v>21</v>
      </c>
      <c r="L4" s="80" t="s">
        <v>22</v>
      </c>
      <c r="M4" s="80"/>
    </row>
    <row r="5" s="63" customFormat="1" ht="40" customHeight="1" spans="1:19">
      <c r="A5" s="78"/>
      <c r="B5" s="78"/>
      <c r="C5" s="81" t="s">
        <v>23</v>
      </c>
      <c r="D5" s="81"/>
      <c r="E5" s="81"/>
      <c r="F5" s="81"/>
      <c r="G5" s="81"/>
      <c r="K5" s="78"/>
      <c r="L5" s="82" t="s">
        <v>24</v>
      </c>
      <c r="M5" s="82"/>
    </row>
    <row r="6" s="63" customFormat="1" ht="64" customHeight="1" spans="1:19">
      <c r="A6" s="78" t="s">
        <v>25</v>
      </c>
      <c r="B6" s="78"/>
      <c r="C6" s="79" t="s">
        <v>26</v>
      </c>
      <c r="D6" s="79"/>
      <c r="E6" s="79"/>
      <c r="F6" s="79"/>
      <c r="G6" s="79"/>
      <c r="H6" s="72"/>
      <c r="I6" s="72"/>
      <c r="K6" s="63" t="s">
        <v>27</v>
      </c>
      <c r="L6" s="82" t="s">
        <v>28</v>
      </c>
      <c r="M6" s="82"/>
    </row>
    <row r="7" s="63" customFormat="1" ht="30" customHeight="1" spans="1:19">
      <c r="A7" s="72" t="s">
        <v>29</v>
      </c>
      <c r="B7" s="72"/>
      <c r="C7" s="83" t="s">
        <v>30</v>
      </c>
      <c r="D7" s="83"/>
      <c r="E7" s="83"/>
      <c r="F7" s="83"/>
      <c r="G7" s="83"/>
      <c r="H7" s="84"/>
      <c r="I7" s="72"/>
      <c r="K7" s="72" t="s">
        <v>31</v>
      </c>
      <c r="L7" s="82" t="s">
        <v>32</v>
      </c>
      <c r="M7" s="82"/>
    </row>
    <row r="8" s="63" customFormat="1" ht="30" customHeight="1" spans="1:19">
      <c r="A8" s="72" t="s">
        <v>33</v>
      </c>
      <c r="B8" s="72"/>
      <c r="C8" s="79" t="s">
        <v>34</v>
      </c>
      <c r="D8" s="79"/>
      <c r="E8" s="79"/>
      <c r="F8" s="79"/>
      <c r="G8" s="79"/>
      <c r="H8" s="85"/>
      <c r="I8" s="72"/>
      <c r="K8" s="86" t="s">
        <v>35</v>
      </c>
      <c r="L8" s="82" t="s">
        <v>36</v>
      </c>
      <c r="M8" s="82"/>
    </row>
    <row r="9" s="63" customFormat="1" ht="30" customHeight="1" spans="1:19">
      <c r="A9" s="86" t="s">
        <v>37</v>
      </c>
      <c r="B9" s="86"/>
      <c r="C9" s="82" t="s">
        <v>38</v>
      </c>
      <c r="D9" s="82"/>
      <c r="E9" s="82"/>
      <c r="F9" s="82"/>
      <c r="G9" s="82"/>
      <c r="H9" s="85"/>
      <c r="I9" s="72"/>
      <c r="K9" s="72" t="s">
        <v>37</v>
      </c>
      <c r="L9" s="82" t="s">
        <v>39</v>
      </c>
      <c r="M9" s="82"/>
    </row>
    <row r="10" s="63" customFormat="1" ht="18.75" customHeight="1" spans="1:19">
      <c r="A10" s="87" t="s">
        <v>40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</row>
    <row r="11" s="64" customFormat="1" ht="50" customHeight="1" spans="1:19">
      <c r="A11" s="88" t="s">
        <v>41</v>
      </c>
      <c r="B11" s="88" t="s">
        <v>42</v>
      </c>
      <c r="C11" s="88"/>
      <c r="D11" s="88"/>
      <c r="E11" s="88"/>
      <c r="F11" s="88" t="s">
        <v>43</v>
      </c>
      <c r="G11" s="88"/>
      <c r="H11" s="88"/>
      <c r="I11" s="88" t="s">
        <v>44</v>
      </c>
      <c r="J11" s="88" t="s">
        <v>45</v>
      </c>
      <c r="K11" s="88" t="s">
        <v>46</v>
      </c>
      <c r="L11" s="89" t="s">
        <v>47</v>
      </c>
      <c r="M11" s="89" t="s">
        <v>48</v>
      </c>
      <c r="N11" s="90"/>
      <c r="O11" s="90"/>
      <c r="P11" s="90"/>
      <c r="Q11" s="90"/>
      <c r="R11" s="90"/>
    </row>
    <row r="12" s="65" customFormat="1" ht="116" customHeight="1" spans="1:19">
      <c r="A12" s="91">
        <v>1</v>
      </c>
      <c r="B12" s="92" t="s">
        <v>49</v>
      </c>
      <c r="C12" s="93"/>
      <c r="D12" s="93"/>
      <c r="E12" s="94"/>
      <c r="F12" s="95" t="s">
        <v>50</v>
      </c>
      <c r="G12" s="96"/>
      <c r="H12" s="97"/>
      <c r="I12" s="98" t="s">
        <v>51</v>
      </c>
      <c r="J12" s="99">
        <v>43</v>
      </c>
      <c r="K12" s="100">
        <v>130</v>
      </c>
      <c r="L12" s="101">
        <f>K12*J12</f>
        <v>5590</v>
      </c>
      <c r="M12" s="98" t="s">
        <v>52</v>
      </c>
      <c r="N12" s="102"/>
    </row>
    <row r="13" s="66" customFormat="1" ht="45" customHeight="1" spans="1:19">
      <c r="A13" s="103"/>
      <c r="B13" s="103"/>
      <c r="C13" s="103"/>
      <c r="D13" s="103"/>
      <c r="E13" s="103"/>
      <c r="F13" s="103"/>
      <c r="G13" s="103"/>
      <c r="H13" s="103"/>
      <c r="I13" s="103"/>
      <c r="J13" s="104"/>
      <c r="K13" s="105" t="s">
        <v>53</v>
      </c>
      <c r="L13" s="106">
        <f>SUM(L12:L12)</f>
        <v>5590</v>
      </c>
      <c r="M13" s="103"/>
      <c r="N13" s="107"/>
      <c r="S13" s="108"/>
    </row>
    <row r="14" s="67" customFormat="1" ht="28" customHeight="1" spans="1:19">
      <c r="A14" s="109"/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10"/>
      <c r="S14" s="65"/>
    </row>
    <row r="15" s="63" customFormat="1" ht="36" customHeight="1" spans="1:19">
      <c r="A15" s="72" t="s">
        <v>54</v>
      </c>
      <c r="B15" s="72"/>
      <c r="C15" s="72"/>
      <c r="D15" s="72"/>
      <c r="E15" s="111" t="s">
        <v>55</v>
      </c>
      <c r="F15" s="112"/>
      <c r="G15" s="112"/>
      <c r="H15" s="112"/>
      <c r="I15" s="112"/>
      <c r="J15" s="112"/>
      <c r="K15" s="112"/>
      <c r="L15" s="112"/>
      <c r="S15" s="65"/>
    </row>
    <row r="16" s="63" customFormat="1" ht="45" customHeight="1" spans="1:19">
      <c r="A16" s="86" t="s">
        <v>56</v>
      </c>
      <c r="B16" s="86"/>
      <c r="C16" s="86"/>
      <c r="D16" s="86"/>
      <c r="E16" s="113" t="s">
        <v>57</v>
      </c>
      <c r="F16" s="113"/>
      <c r="G16" s="113"/>
      <c r="H16" s="113"/>
      <c r="I16" s="113"/>
      <c r="J16" s="113"/>
      <c r="K16" s="113"/>
      <c r="L16" s="113"/>
    </row>
    <row r="17" s="63" customFormat="1" ht="87" customHeight="1" spans="1:14">
      <c r="A17" s="86" t="s">
        <v>58</v>
      </c>
      <c r="B17" s="86"/>
      <c r="C17" s="86"/>
      <c r="D17" s="86"/>
      <c r="E17" s="114" t="s">
        <v>59</v>
      </c>
      <c r="F17" s="115"/>
      <c r="G17" s="115"/>
      <c r="H17" s="115"/>
      <c r="I17" s="115"/>
      <c r="J17" s="115"/>
      <c r="K17" s="115"/>
      <c r="L17" s="115"/>
    </row>
    <row r="18" s="63" customFormat="1" ht="19.5" customHeight="1" spans="1:14">
      <c r="A18" s="72" t="s">
        <v>60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</row>
    <row r="19" s="63" customFormat="1" ht="35" customHeight="1" spans="1:14">
      <c r="A19" s="72"/>
      <c r="B19" s="72"/>
      <c r="C19" s="116" t="s">
        <v>61</v>
      </c>
      <c r="D19" s="116"/>
      <c r="E19" s="116"/>
      <c r="F19" s="116"/>
      <c r="G19" s="116"/>
      <c r="H19" s="116"/>
      <c r="I19" s="116"/>
      <c r="J19" s="116"/>
      <c r="K19" s="116"/>
      <c r="L19" s="116"/>
      <c r="M19" s="116"/>
    </row>
    <row r="20" s="68" customFormat="1" ht="68" customHeight="1" spans="1:14">
      <c r="A20" s="117" t="s">
        <v>62</v>
      </c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</row>
    <row r="21" s="68" customFormat="1" ht="68" customHeight="1" spans="1:14">
      <c r="A21" s="117"/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</row>
    <row r="22" s="68" customFormat="1" ht="68" customHeight="1" spans="1:14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</row>
    <row r="23" s="68" customFormat="1" ht="32" customHeight="1" spans="1:14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</row>
    <row r="24" s="63" customFormat="1" ht="23.25" customHeight="1" spans="1:14">
      <c r="A24" s="72" t="s">
        <v>63</v>
      </c>
      <c r="B24" s="72"/>
      <c r="F24" s="72"/>
      <c r="G24" s="72"/>
      <c r="H24" s="72"/>
      <c r="J24" s="72" t="s">
        <v>64</v>
      </c>
      <c r="K24" s="72"/>
    </row>
    <row r="25" s="63" customFormat="1" ht="23.25" customHeight="1" spans="1:14">
      <c r="A25" s="72"/>
      <c r="B25" s="72"/>
      <c r="C25" s="118"/>
      <c r="D25" s="118"/>
      <c r="E25" s="118"/>
      <c r="F25" s="119"/>
      <c r="G25" s="72"/>
      <c r="H25" s="72"/>
      <c r="J25" s="72"/>
      <c r="K25" s="120"/>
      <c r="L25" s="120"/>
      <c r="M25" s="72"/>
      <c r="N25" s="72"/>
    </row>
    <row r="26" s="63" customFormat="1" ht="23.25" customHeight="1" spans="1:14">
      <c r="A26" s="72" t="s">
        <v>65</v>
      </c>
      <c r="B26" s="72"/>
      <c r="F26" s="72"/>
      <c r="G26" s="72"/>
      <c r="H26" s="72"/>
      <c r="J26" s="72" t="s">
        <v>65</v>
      </c>
      <c r="K26" s="72"/>
      <c r="M26" s="72"/>
      <c r="N26" s="72"/>
    </row>
    <row r="27" s="63" customFormat="1" ht="23.25" customHeight="1" spans="1:14">
      <c r="A27" s="72"/>
      <c r="B27" s="72"/>
      <c r="C27" s="118"/>
      <c r="D27" s="118"/>
      <c r="E27" s="118"/>
      <c r="F27" s="119"/>
      <c r="G27" s="72"/>
      <c r="H27" s="72"/>
      <c r="J27" s="72"/>
      <c r="K27" s="119"/>
      <c r="L27" s="119"/>
      <c r="M27" s="72"/>
      <c r="N27" s="72"/>
    </row>
    <row r="28" s="63" customFormat="1" ht="21.5" customHeight="1" spans="1:14">
      <c r="A28" s="63" t="s">
        <v>66</v>
      </c>
      <c r="C28" s="121"/>
      <c r="D28" s="121"/>
      <c r="E28" s="121"/>
      <c r="F28" s="121"/>
      <c r="J28" s="63" t="s">
        <v>66</v>
      </c>
      <c r="K28" s="121"/>
      <c r="L28" s="121"/>
      <c r="M28" s="72"/>
      <c r="N28" s="72"/>
    </row>
    <row r="29" s="69" customFormat="1" ht="17.25" customHeight="1" spans="1:14">
      <c r="C29" s="119"/>
      <c r="D29" s="119"/>
      <c r="E29" s="119"/>
      <c r="F29" s="122"/>
      <c r="I29" s="63"/>
      <c r="J29" s="63"/>
      <c r="K29" s="121"/>
      <c r="L29" s="119"/>
      <c r="M29" s="72"/>
      <c r="N29" s="72"/>
    </row>
  </sheetData>
  <sheetProtection formatCells="0" formatColumns="0" formatRows="0" insertRows="0" insertColumns="0" insertHyperlinks="0" deleteColumns="0" deleteRows="0" sort="0" autoFilter="0" pivotTables="0"/>
  <mergeCells count="33">
    <mergeCell ref="A1:M1"/>
    <mergeCell ref="K3:L3"/>
    <mergeCell ref="C4:G4"/>
    <mergeCell ref="L4:M4"/>
    <mergeCell ref="C5:G5"/>
    <mergeCell ref="L5:M5"/>
    <mergeCell ref="A6:B6"/>
    <mergeCell ref="C6:G6"/>
    <mergeCell ref="L6:M6"/>
    <mergeCell ref="C7:G7"/>
    <mergeCell ref="L7:M7"/>
    <mergeCell ref="C8:G8"/>
    <mergeCell ref="L8:M8"/>
    <mergeCell ref="A9:B9"/>
    <mergeCell ref="C9:G9"/>
    <mergeCell ref="L9:M9"/>
    <mergeCell ref="B11:E11"/>
    <mergeCell ref="F11:H11"/>
    <mergeCell ref="B12:E12"/>
    <mergeCell ref="F12:H12"/>
    <mergeCell ref="A14:M14"/>
    <mergeCell ref="E15:L15"/>
    <mergeCell ref="A16:D16"/>
    <mergeCell ref="E16:L16"/>
    <mergeCell ref="A17:D17"/>
    <mergeCell ref="E17:L17"/>
    <mergeCell ref="C19:M19"/>
    <mergeCell ref="A20:M20"/>
    <mergeCell ref="C25:E25"/>
    <mergeCell ref="K25:L25"/>
    <mergeCell ref="C27:E27"/>
    <mergeCell ref="K4:K5"/>
    <mergeCell ref="A4:B5"/>
  </mergeCells>
  <hyperlinks>
    <hyperlink ref="L9" r:id="rId1" display="Flora.Chow@sunstaropto.com" tooltip="mailto:Flora.Chow@sunstaropto.com"/>
    <hyperlink ref="C7" r:id="rId2" display="Tina Chang 張玉君"/>
    <hyperlink ref="C9" r:id="rId3" display="tina0729tw@gmail.com" tooltip="mailto:tina0729tw@gmail.com"/>
  </hyperlinks>
  <printOptions horizontalCentered="1"/>
  <pageMargins left="0.313888888888889" right="0.313888888888889" top="0.393055555555556" bottom="0.0388888888888889" header="0.15625" footer="0.15625"/>
  <pageSetup paperSize="9" scale="48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2"/>
  <sheetViews>
    <sheetView tabSelected="1" zoomScale="85" zoomScaleNormal="85" zoomScaleSheetLayoutView="60" workbookViewId="0">
      <selection activeCell="O14" sqref="O14"/>
    </sheetView>
  </sheetViews>
  <sheetFormatPr defaultColWidth="9.14285714285714" defaultRowHeight="12.75"/>
  <cols>
    <col min="2" max="4" width="20.8571428571429" customWidth="1"/>
    <col min="5" max="5" width="7.57142857142857" customWidth="1"/>
    <col min="6" max="6" width="5.42857142857143" customWidth="1"/>
    <col min="7" max="7" width="4.28571428571429" customWidth="1"/>
    <col min="8" max="8" width="14.8571428571429" customWidth="1"/>
    <col min="9" max="9" width="14.1428571428571" customWidth="1"/>
    <col min="10" max="10" width="11.5904761904762" customWidth="1"/>
  </cols>
  <sheetData>
    <row r="1" ht="42" customHeight="1" spans="1:11">
      <c r="A1" s="37" t="s">
        <v>67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ht="38" customHeight="1" spans="1:11">
      <c r="A2" s="38" t="s">
        <v>68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3" ht="17" customHeight="1" spans="1:11">
      <c r="G3" s="5"/>
      <c r="H3" s="5"/>
    </row>
    <row r="4" s="33" customFormat="1" ht="24" customHeight="1" spans="1:11">
      <c r="I4" s="39" t="s">
        <v>69</v>
      </c>
      <c r="J4" s="39"/>
      <c r="K4" s="39"/>
    </row>
    <row r="5" s="33" customFormat="1" ht="24" customHeight="1" spans="1:11">
      <c r="A5" s="40"/>
      <c r="B5" s="40"/>
      <c r="C5" s="40"/>
      <c r="D5" s="40"/>
      <c r="E5" s="40"/>
      <c r="F5" s="41"/>
      <c r="G5" s="41"/>
      <c r="H5" s="41"/>
      <c r="I5" s="42" t="s">
        <v>70</v>
      </c>
      <c r="J5" s="42"/>
      <c r="K5" s="42"/>
    </row>
    <row r="6" s="33" customFormat="1" ht="24" customHeight="1" spans="1:11">
      <c r="I6" s="33" t="s">
        <v>71</v>
      </c>
    </row>
    <row r="7" s="33" customFormat="1" ht="24" customHeight="1" spans="1:11">
      <c r="A7" s="39" t="s">
        <v>72</v>
      </c>
      <c r="B7" s="39"/>
      <c r="C7" s="39"/>
      <c r="D7" s="39"/>
      <c r="E7" s="39"/>
      <c r="F7" s="39"/>
      <c r="G7" s="39"/>
      <c r="H7" s="39"/>
      <c r="I7" s="39" t="s">
        <v>73</v>
      </c>
      <c r="J7" s="39"/>
      <c r="K7" s="39"/>
    </row>
    <row r="8" s="33" customFormat="1" ht="24" customHeight="1" spans="1:11">
      <c r="A8" s="39"/>
      <c r="B8" s="43" t="s">
        <v>74</v>
      </c>
      <c r="C8" s="44"/>
      <c r="D8" s="44"/>
      <c r="E8" s="39"/>
      <c r="F8" s="39"/>
      <c r="G8" s="39"/>
      <c r="H8" s="39"/>
    </row>
    <row r="9" s="33" customFormat="1" ht="71" customHeight="1" spans="1:11">
      <c r="A9" s="45" t="s">
        <v>75</v>
      </c>
      <c r="B9" s="45"/>
      <c r="C9" s="45"/>
      <c r="D9" s="45"/>
      <c r="J9" s="41"/>
      <c r="K9" s="41"/>
    </row>
    <row r="10" s="34" customFormat="1" ht="24" customHeight="1" spans="1:11">
      <c r="A10" s="34" t="s">
        <v>76</v>
      </c>
      <c r="I10" s="46"/>
      <c r="J10" s="46"/>
      <c r="K10" s="46"/>
    </row>
    <row r="11" s="33" customFormat="1" ht="11" customHeight="1" spans="1:11">
      <c r="B11" s="40"/>
      <c r="C11" s="40"/>
      <c r="D11" s="40"/>
      <c r="E11" s="40"/>
      <c r="F11" s="40"/>
      <c r="G11" s="40"/>
      <c r="H11" s="40"/>
      <c r="I11" s="40"/>
      <c r="J11" s="40"/>
      <c r="K11" s="40"/>
    </row>
    <row r="12" s="33" customFormat="1" ht="24" customHeight="1" spans="1:11">
      <c r="A12" s="40" t="s">
        <v>77</v>
      </c>
      <c r="B12" s="40"/>
      <c r="C12" s="40"/>
      <c r="D12" s="40"/>
      <c r="E12" s="41"/>
      <c r="F12" s="41"/>
      <c r="G12" s="41"/>
    </row>
    <row r="13" s="33" customFormat="1" ht="24" customHeight="1" spans="1:11">
      <c r="A13" s="39" t="s">
        <v>78</v>
      </c>
      <c r="B13" s="39"/>
      <c r="C13" s="39"/>
      <c r="D13" s="39"/>
      <c r="E13" s="39"/>
      <c r="F13" s="39"/>
      <c r="G13" s="39"/>
      <c r="H13" s="39"/>
    </row>
    <row r="14" s="33" customFormat="1" ht="46" customHeight="1" spans="1:11">
      <c r="A14" s="47" t="s">
        <v>79</v>
      </c>
      <c r="B14" s="48"/>
      <c r="C14" s="48"/>
      <c r="D14" s="48"/>
      <c r="E14" s="48"/>
      <c r="F14" s="48"/>
      <c r="G14" s="48"/>
      <c r="H14" s="48"/>
      <c r="J14" s="41"/>
      <c r="K14" s="41"/>
    </row>
    <row r="15" s="33" customFormat="1" ht="24" customHeight="1" spans="1:11">
      <c r="A15" s="33" t="s">
        <v>80</v>
      </c>
      <c r="B15" s="49"/>
      <c r="C15" s="49"/>
      <c r="D15" s="49"/>
      <c r="E15" s="49"/>
      <c r="F15" s="49"/>
      <c r="G15" s="49"/>
      <c r="H15" s="40"/>
      <c r="I15" s="40"/>
      <c r="J15" s="40"/>
      <c r="K15" s="40"/>
    </row>
    <row r="16" s="33" customFormat="1" ht="24" customHeight="1" spans="1:11">
      <c r="A16" s="49"/>
      <c r="B16" s="49"/>
      <c r="C16" s="49"/>
      <c r="D16" s="49"/>
      <c r="E16" s="49"/>
      <c r="F16" s="49"/>
      <c r="G16" s="49"/>
    </row>
    <row r="17" ht="24" customHeight="1" spans="1:12">
      <c r="A17" s="14"/>
      <c r="B17" s="14"/>
      <c r="C17" s="14"/>
      <c r="D17" s="14"/>
      <c r="E17" s="14"/>
      <c r="F17" s="14"/>
      <c r="G17" s="14"/>
    </row>
    <row r="18" s="35" customFormat="1" ht="35" customHeight="1" spans="1:12">
      <c r="A18" s="50" t="s">
        <v>81</v>
      </c>
      <c r="B18" s="50"/>
      <c r="C18" s="51" t="s">
        <v>82</v>
      </c>
      <c r="D18" s="52"/>
      <c r="E18" s="50" t="s">
        <v>83</v>
      </c>
      <c r="F18" s="50"/>
      <c r="G18" s="50"/>
      <c r="H18" s="50" t="s">
        <v>84</v>
      </c>
      <c r="I18" s="50" t="s">
        <v>85</v>
      </c>
      <c r="J18" s="50" t="s">
        <v>86</v>
      </c>
      <c r="K18" s="50"/>
    </row>
    <row r="19" ht="35" customHeight="1" spans="1:12">
      <c r="A19" s="53" t="s">
        <v>87</v>
      </c>
      <c r="B19" s="54"/>
      <c r="C19" s="55" t="s">
        <v>50</v>
      </c>
      <c r="D19" s="54"/>
      <c r="E19" s="29">
        <v>43</v>
      </c>
      <c r="F19" s="29"/>
      <c r="G19" s="29"/>
      <c r="H19" s="29" t="s">
        <v>88</v>
      </c>
      <c r="I19" s="29">
        <v>130</v>
      </c>
      <c r="J19" s="56">
        <f>E19*I19</f>
        <v>5590</v>
      </c>
      <c r="K19" s="56"/>
    </row>
    <row r="20" ht="35" customHeight="1" spans="1:12">
      <c r="A20" s="53"/>
      <c r="B20" s="54"/>
      <c r="C20" s="55"/>
      <c r="D20" s="54"/>
      <c r="E20" s="29"/>
      <c r="F20" s="29"/>
      <c r="G20" s="29"/>
      <c r="H20" s="29"/>
      <c r="I20" s="29"/>
      <c r="J20" s="56"/>
      <c r="K20" s="56"/>
    </row>
    <row r="22" ht="18" customHeight="1" spans="1:12">
      <c r="J22" s="2"/>
      <c r="K22" s="2"/>
    </row>
    <row r="23" ht="18" customHeight="1"/>
    <row r="24" ht="18" customHeight="1" spans="1:12">
      <c r="B24" s="12"/>
      <c r="C24" s="12"/>
      <c r="D24" s="12"/>
      <c r="E24" s="12"/>
      <c r="F24" s="12"/>
      <c r="G24" s="12"/>
      <c r="H24" s="35" t="s">
        <v>89</v>
      </c>
      <c r="I24" s="57">
        <f>J19+J20</f>
        <v>5590</v>
      </c>
      <c r="J24" s="40"/>
      <c r="K24" s="33"/>
      <c r="L24" s="33"/>
    </row>
    <row r="25" ht="18" customHeight="1" spans="1:12">
      <c r="B25" s="12"/>
      <c r="C25" s="12"/>
      <c r="D25" s="12"/>
      <c r="E25" s="12"/>
      <c r="F25" s="12"/>
      <c r="G25" s="12"/>
      <c r="H25" s="35"/>
      <c r="I25" s="57"/>
      <c r="J25" s="40"/>
      <c r="K25" s="33"/>
      <c r="L25" s="33"/>
    </row>
    <row r="26" ht="18" customHeight="1" spans="1:12">
      <c r="B26" s="12"/>
      <c r="C26" s="12"/>
      <c r="D26" s="12"/>
      <c r="E26" s="12"/>
      <c r="F26" s="12"/>
      <c r="G26" s="12"/>
      <c r="H26" s="35"/>
      <c r="I26" s="57"/>
      <c r="J26" s="40"/>
      <c r="K26" s="33"/>
      <c r="L26" s="33"/>
    </row>
    <row r="27" ht="15.75" spans="1:12">
      <c r="A27" s="58" t="s">
        <v>90</v>
      </c>
      <c r="B27" s="12"/>
      <c r="C27" s="12"/>
      <c r="D27" s="12"/>
      <c r="E27" s="12"/>
      <c r="F27" s="12"/>
      <c r="G27" s="12"/>
      <c r="H27" s="40"/>
      <c r="I27" s="59"/>
      <c r="J27" s="40"/>
      <c r="K27" s="33"/>
      <c r="L27" s="33"/>
    </row>
    <row r="28" ht="17.25" spans="1:12">
      <c r="A28" s="60" t="s">
        <v>91</v>
      </c>
      <c r="B28" s="12"/>
      <c r="C28" s="12"/>
      <c r="D28" s="12"/>
      <c r="E28" s="12"/>
      <c r="F28" s="12"/>
      <c r="G28" s="12"/>
      <c r="H28" s="33"/>
      <c r="I28" s="40"/>
      <c r="J28" s="40"/>
      <c r="K28" s="33"/>
      <c r="L28" s="33"/>
    </row>
    <row r="29" ht="17.25" spans="1:12">
      <c r="A29" s="60" t="s">
        <v>92</v>
      </c>
      <c r="H29" s="33"/>
      <c r="I29" s="33"/>
      <c r="J29" s="33"/>
      <c r="K29" s="33"/>
      <c r="L29" s="33"/>
    </row>
    <row r="30" ht="17.25" spans="1:12">
      <c r="A30" s="60" t="s">
        <v>93</v>
      </c>
      <c r="H30" s="33"/>
      <c r="I30" s="33"/>
      <c r="J30" s="33"/>
      <c r="K30" s="33"/>
      <c r="L30" s="33"/>
    </row>
    <row r="31" ht="14.25" spans="1:12">
      <c r="H31" s="33"/>
      <c r="I31" s="33"/>
      <c r="J31" s="33"/>
      <c r="K31" s="33"/>
      <c r="L31" s="33"/>
    </row>
    <row r="32" ht="15.75" spans="1:12">
      <c r="A32" s="58" t="s">
        <v>94</v>
      </c>
      <c r="H32" s="33"/>
      <c r="I32" s="33"/>
      <c r="J32" s="33"/>
      <c r="K32" s="33"/>
      <c r="L32" s="33"/>
    </row>
    <row r="33" ht="17.25" spans="1:12">
      <c r="A33" s="61" t="s">
        <v>95</v>
      </c>
      <c r="H33" s="33"/>
      <c r="I33" s="33"/>
      <c r="J33" s="33"/>
      <c r="K33" s="33"/>
      <c r="L33" s="33"/>
    </row>
    <row r="34" ht="17.25" spans="1:12">
      <c r="A34" s="61" t="s">
        <v>96</v>
      </c>
      <c r="H34" s="33"/>
      <c r="I34" s="33"/>
      <c r="J34" s="33"/>
      <c r="K34" s="33"/>
      <c r="L34" s="33"/>
    </row>
    <row r="35" ht="17.25" spans="1:12">
      <c r="A35" s="60" t="s">
        <v>97</v>
      </c>
      <c r="H35" s="33"/>
      <c r="I35" s="33"/>
      <c r="J35" s="33"/>
      <c r="K35" s="33"/>
      <c r="L35" s="33"/>
    </row>
    <row r="36" ht="17.25" spans="1:12">
      <c r="A36" s="61" t="s">
        <v>98</v>
      </c>
      <c r="H36" s="33"/>
      <c r="I36" s="33"/>
      <c r="J36" s="33"/>
      <c r="K36" s="33"/>
      <c r="L36" s="33"/>
    </row>
    <row r="37" customFormat="1" ht="17.25" spans="1:12">
      <c r="A37" s="61"/>
      <c r="H37" s="33"/>
      <c r="I37" s="33"/>
      <c r="J37" s="33"/>
      <c r="K37" s="33"/>
      <c r="L37" s="33"/>
    </row>
    <row r="38" customFormat="1" ht="17.25" spans="1:12">
      <c r="A38" s="61"/>
      <c r="H38" s="33"/>
      <c r="I38" s="33"/>
      <c r="J38" s="33"/>
      <c r="K38" s="33"/>
      <c r="L38" s="33"/>
    </row>
    <row r="39" customFormat="1" ht="17.25" spans="1:12">
      <c r="A39" s="61"/>
      <c r="H39" s="33"/>
      <c r="I39" s="33"/>
      <c r="J39" s="33"/>
      <c r="K39" s="33"/>
      <c r="L39" s="33"/>
    </row>
    <row r="40" customFormat="1" ht="17.25" spans="1:12">
      <c r="A40" s="61"/>
      <c r="H40" s="33"/>
      <c r="I40" s="33"/>
      <c r="J40" s="33"/>
      <c r="K40" s="33"/>
      <c r="L40" s="33"/>
    </row>
    <row r="41" s="36" customFormat="1" ht="36" customHeight="1" spans="1:12">
      <c r="H41" s="62" t="s">
        <v>99</v>
      </c>
      <c r="I41" s="44"/>
      <c r="J41" s="44"/>
      <c r="K41" s="44"/>
      <c r="L41" s="44"/>
    </row>
    <row r="42" ht="14.25" spans="1:12">
      <c r="H42" s="33"/>
      <c r="I42" s="33"/>
      <c r="J42" s="33"/>
      <c r="K42" s="33"/>
      <c r="L42" s="33"/>
    </row>
  </sheetData>
  <mergeCells count="23">
    <mergeCell ref="A1:K1"/>
    <mergeCell ref="A2:K2"/>
    <mergeCell ref="I4:K4"/>
    <mergeCell ref="I5:K5"/>
    <mergeCell ref="A7:H7"/>
    <mergeCell ref="I7:K7"/>
    <mergeCell ref="B8:D8"/>
    <mergeCell ref="A9:D9"/>
    <mergeCell ref="A13:H13"/>
    <mergeCell ref="A14:H14"/>
    <mergeCell ref="A18:B18"/>
    <mergeCell ref="C18:D18"/>
    <mergeCell ref="E18:G18"/>
    <mergeCell ref="J18:K18"/>
    <mergeCell ref="A19:B19"/>
    <mergeCell ref="C19:D19"/>
    <mergeCell ref="E19:G19"/>
    <mergeCell ref="J19:K19"/>
    <mergeCell ref="A20:B20"/>
    <mergeCell ref="C20:D20"/>
    <mergeCell ref="E20:G20"/>
    <mergeCell ref="J20:K20"/>
    <mergeCell ref="J22:K22"/>
  </mergeCells>
  <pageMargins left="0.747916666666667" right="0.747916666666667" top="0.984027777777778" bottom="0.984027777777778" header="0.511805555555556" footer="0.511805555555556"/>
  <pageSetup paperSize="9" scale="63" orientation="portrait" horizontalDpi="600" vertic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L41"/>
  <sheetViews>
    <sheetView zoomScaleSheetLayoutView="60" workbookViewId="0">
      <selection activeCell="C29" sqref="C29"/>
    </sheetView>
  </sheetViews>
  <sheetFormatPr defaultColWidth="9.14285714285714" defaultRowHeight="12.75"/>
  <cols>
    <col min="2" max="3" width="12.1428571428571" customWidth="1"/>
    <col min="4" max="4" width="13.7142857142857" customWidth="1"/>
    <col min="8" max="8" width="17.7142857142857" customWidth="1"/>
    <col min="9" max="9" width="12.7142857142857" customWidth="1"/>
    <col min="10" max="10" width="15.4285714285714" customWidth="1"/>
    <col min="11" max="11" width="22" customWidth="1"/>
    <col min="12" max="12" width="7.28571428571429" customWidth="1"/>
  </cols>
  <sheetData>
    <row r="1" ht="39" customHeight="1" spans="2:12">
      <c r="B1" s="3" t="s">
        <v>100</v>
      </c>
      <c r="C1" s="3"/>
      <c r="D1" s="3"/>
      <c r="E1" s="3"/>
      <c r="F1" s="3"/>
      <c r="G1" s="3"/>
      <c r="H1" s="3"/>
      <c r="I1" s="3"/>
      <c r="J1" s="3"/>
      <c r="K1" s="3"/>
    </row>
    <row r="2" ht="30" customHeight="1" spans="2:12">
      <c r="B2" s="4" t="s">
        <v>101</v>
      </c>
      <c r="C2" s="4"/>
      <c r="D2" s="4"/>
      <c r="E2" s="4"/>
      <c r="F2" s="4"/>
      <c r="G2" s="4"/>
      <c r="H2" s="4"/>
      <c r="I2" s="4"/>
      <c r="J2" s="4"/>
      <c r="K2" s="4"/>
    </row>
    <row r="3" ht="27" customHeight="1" spans="2:12">
      <c r="G3" s="5"/>
      <c r="H3" s="5"/>
      <c r="I3" s="5"/>
      <c r="J3" s="6" t="s">
        <v>102</v>
      </c>
      <c r="K3" s="7">
        <v>2607031</v>
      </c>
    </row>
    <row r="4" spans="2:12">
      <c r="J4" s="8" t="s">
        <v>103</v>
      </c>
      <c r="K4" s="9" t="s">
        <v>104</v>
      </c>
      <c r="L4" s="10"/>
    </row>
    <row r="5" ht="15.95" customHeight="1" spans="2:12">
      <c r="B5" s="11" t="s">
        <v>105</v>
      </c>
      <c r="C5" s="11"/>
      <c r="D5" s="12"/>
      <c r="E5" s="13"/>
      <c r="F5" s="13"/>
      <c r="G5" s="13"/>
      <c r="J5" s="6" t="s">
        <v>106</v>
      </c>
      <c r="K5" s="7" t="s">
        <v>107</v>
      </c>
    </row>
    <row r="6" ht="15.95" customHeight="1" spans="2:12">
      <c r="B6" s="14" t="s">
        <v>108</v>
      </c>
      <c r="C6" s="14"/>
      <c r="D6" s="14"/>
      <c r="E6" s="14"/>
      <c r="F6" s="14"/>
      <c r="G6" s="14"/>
    </row>
    <row r="7" ht="15.95" customHeight="1" spans="2:12">
      <c r="B7" s="14"/>
      <c r="C7" s="14"/>
      <c r="D7" s="14"/>
      <c r="E7" s="14"/>
      <c r="F7" s="14"/>
      <c r="G7" s="14"/>
      <c r="H7" s="12"/>
      <c r="I7" s="12"/>
      <c r="L7" s="13"/>
    </row>
    <row r="8" ht="15.95" customHeight="1" spans="2:12">
      <c r="B8" s="14"/>
      <c r="C8" s="14"/>
      <c r="D8" s="14"/>
      <c r="E8" s="14"/>
      <c r="F8" s="14"/>
      <c r="G8" s="14"/>
      <c r="J8" s="8"/>
      <c r="K8" s="10"/>
    </row>
    <row r="9" ht="15.95" customHeight="1" spans="2:12">
      <c r="B9" s="14"/>
      <c r="C9" s="14"/>
      <c r="D9" s="14"/>
      <c r="E9" s="14"/>
      <c r="F9" s="14"/>
      <c r="G9" s="14"/>
      <c r="J9" s="8"/>
    </row>
    <row r="10" spans="2:12">
      <c r="B10" s="15" t="s">
        <v>109</v>
      </c>
      <c r="C10" s="15"/>
    </row>
    <row r="11" spans="2:12">
      <c r="B11" s="12"/>
      <c r="C11" s="12"/>
      <c r="D11" s="12"/>
      <c r="E11" s="12"/>
      <c r="F11" s="13"/>
      <c r="G11" s="13"/>
      <c r="H11" s="13"/>
      <c r="I11" s="13"/>
      <c r="J11" s="7"/>
      <c r="K11" s="7"/>
      <c r="L11" s="7"/>
    </row>
    <row r="13" ht="15.95" customHeight="1" spans="2:12">
      <c r="B13" s="16" t="s">
        <v>110</v>
      </c>
      <c r="C13" s="16"/>
      <c r="D13" s="16"/>
      <c r="E13" s="16"/>
      <c r="F13" s="16"/>
      <c r="G13" s="16"/>
      <c r="H13" s="16"/>
    </row>
    <row r="14" ht="15.95" customHeight="1" spans="2:12">
      <c r="B14" s="16" t="s">
        <v>111</v>
      </c>
      <c r="C14" s="16"/>
      <c r="D14" s="16"/>
      <c r="E14" s="16"/>
      <c r="F14" s="16"/>
      <c r="G14" s="16"/>
      <c r="H14" s="16"/>
      <c r="J14" s="13"/>
      <c r="K14" s="13"/>
    </row>
    <row r="15" ht="15.95" customHeight="1" spans="2:12">
      <c r="B15" s="16" t="s">
        <v>112</v>
      </c>
      <c r="C15" s="16"/>
      <c r="D15" s="16"/>
      <c r="E15" s="16"/>
      <c r="F15" s="16"/>
      <c r="G15" s="16"/>
      <c r="H15" s="16"/>
      <c r="I15" s="12"/>
      <c r="J15" s="12"/>
      <c r="K15" s="12"/>
    </row>
    <row r="16" ht="15.95" customHeight="1" spans="2:12">
      <c r="B16" s="15" t="s">
        <v>113</v>
      </c>
      <c r="C16" s="15"/>
      <c r="D16" s="12"/>
      <c r="E16" s="12"/>
      <c r="F16" s="12"/>
      <c r="G16" s="12"/>
      <c r="H16" s="12"/>
      <c r="I16" s="12"/>
      <c r="J16" s="12"/>
      <c r="K16" s="12"/>
    </row>
    <row r="19" s="1" customFormat="1" ht="24" customHeight="1" spans="2:12">
      <c r="B19" s="17" t="s">
        <v>114</v>
      </c>
      <c r="C19" s="17"/>
      <c r="D19" s="17"/>
      <c r="E19" s="17" t="s">
        <v>115</v>
      </c>
      <c r="F19" s="17"/>
      <c r="G19" s="17"/>
      <c r="H19" s="17" t="s">
        <v>116</v>
      </c>
      <c r="I19" s="17" t="s">
        <v>117</v>
      </c>
      <c r="J19" s="17" t="s">
        <v>118</v>
      </c>
      <c r="K19" s="18" t="s">
        <v>119</v>
      </c>
      <c r="L19" s="19"/>
    </row>
    <row r="20" s="2" customFormat="1" ht="45" customHeight="1" spans="2:12">
      <c r="B20" s="20" t="s">
        <v>120</v>
      </c>
      <c r="C20" s="21"/>
      <c r="D20" s="22"/>
      <c r="E20" s="23" t="s">
        <v>121</v>
      </c>
      <c r="F20" s="24"/>
      <c r="G20" s="25"/>
      <c r="H20" s="26">
        <v>1</v>
      </c>
      <c r="I20" s="26" t="s">
        <v>88</v>
      </c>
      <c r="J20" s="26">
        <v>1</v>
      </c>
      <c r="K20" s="27" t="s">
        <v>122</v>
      </c>
      <c r="L20" s="28"/>
    </row>
    <row r="21" ht="45" customHeight="1" spans="2:12"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12"/>
    </row>
    <row r="22" ht="45" customHeight="1" spans="2:12"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12"/>
    </row>
    <row r="25" spans="2:12">
      <c r="B25" t="s">
        <v>123</v>
      </c>
      <c r="I25" s="2" t="s">
        <v>124</v>
      </c>
      <c r="J25" s="2"/>
      <c r="K25" t="s">
        <v>55</v>
      </c>
    </row>
    <row r="26" spans="2:12">
      <c r="D26" s="12"/>
      <c r="E26" s="12"/>
      <c r="F26" s="12"/>
      <c r="G26" s="12"/>
      <c r="H26" s="12"/>
      <c r="I26" s="12"/>
      <c r="J26" s="12"/>
      <c r="K26" s="12"/>
    </row>
    <row r="27" spans="2:12">
      <c r="E27" s="12"/>
      <c r="F27" s="12"/>
      <c r="G27" s="12"/>
      <c r="H27" s="12"/>
      <c r="I27" s="30" t="s">
        <v>125</v>
      </c>
      <c r="J27" s="2"/>
      <c r="K27" s="12" t="s">
        <v>126</v>
      </c>
    </row>
    <row r="28" spans="2:12">
      <c r="D28" s="12"/>
      <c r="E28" s="12"/>
      <c r="F28" s="12"/>
      <c r="G28" s="12"/>
      <c r="H28" s="12"/>
      <c r="I28" s="12"/>
      <c r="J28" s="31"/>
      <c r="K28" s="12"/>
    </row>
    <row r="29" spans="2:12">
      <c r="D29" s="12"/>
      <c r="E29" s="12"/>
      <c r="F29" s="12"/>
      <c r="G29" s="12"/>
      <c r="H29" s="12"/>
      <c r="I29" s="12"/>
      <c r="J29" s="31"/>
      <c r="K29" s="12"/>
    </row>
    <row r="30" spans="2:12">
      <c r="D30" s="12"/>
      <c r="E30" s="12"/>
      <c r="F30" s="12"/>
      <c r="G30" s="12"/>
      <c r="H30" s="12"/>
      <c r="I30" s="12"/>
      <c r="J30" s="31"/>
      <c r="K30" s="12"/>
    </row>
    <row r="31" spans="2:12">
      <c r="D31" s="12"/>
      <c r="E31" s="12"/>
      <c r="F31" s="12"/>
      <c r="G31" s="12"/>
      <c r="J31" s="32"/>
      <c r="K31" s="12"/>
    </row>
    <row r="32" spans="2:12">
      <c r="D32" s="12"/>
      <c r="E32" s="12"/>
      <c r="F32" s="12"/>
      <c r="G32" s="12"/>
      <c r="J32" s="32"/>
      <c r="K32" s="12"/>
    </row>
    <row r="33" spans="2:11">
      <c r="D33" s="12"/>
      <c r="E33" s="12"/>
      <c r="F33" s="12"/>
      <c r="G33" s="12"/>
      <c r="J33" s="32"/>
      <c r="K33" s="12"/>
    </row>
    <row r="34" spans="2:11">
      <c r="D34" s="12"/>
      <c r="E34" s="12"/>
      <c r="F34" s="12"/>
      <c r="G34" s="12"/>
      <c r="K34" s="12"/>
    </row>
    <row r="36" spans="2:11">
      <c r="J36" s="12" t="s">
        <v>99</v>
      </c>
    </row>
    <row r="37" spans="2:11">
      <c r="B37" s="12"/>
      <c r="C37" s="12"/>
      <c r="D37" s="12"/>
      <c r="E37" s="12"/>
      <c r="F37" s="12"/>
      <c r="G37" s="12"/>
      <c r="I37" s="12"/>
      <c r="J37" s="12"/>
      <c r="K37" s="12"/>
    </row>
    <row r="38" spans="2:11">
      <c r="B38" s="31"/>
      <c r="C38" s="31"/>
      <c r="D38" s="12"/>
      <c r="E38" s="12"/>
      <c r="F38" s="12"/>
      <c r="G38" s="12"/>
      <c r="H38" s="12"/>
      <c r="I38" s="12"/>
      <c r="J38" s="12"/>
      <c r="K38" s="12"/>
    </row>
    <row r="39" spans="2:11"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spans="2:11">
      <c r="B40" s="12"/>
      <c r="C40" s="12"/>
      <c r="D40" s="12"/>
      <c r="E40" s="12"/>
      <c r="F40" s="12"/>
      <c r="G40" s="12"/>
      <c r="H40" s="12"/>
      <c r="I40" s="12"/>
      <c r="J40" s="12"/>
      <c r="K40" s="12"/>
    </row>
    <row r="41" spans="2:11">
      <c r="B41" s="12"/>
      <c r="C41" s="12"/>
      <c r="D41" s="12"/>
      <c r="E41" s="12"/>
      <c r="F41" s="12"/>
      <c r="G41" s="12"/>
      <c r="H41" s="12"/>
      <c r="I41" s="12"/>
      <c r="J41" s="31"/>
      <c r="K41" s="12"/>
    </row>
  </sheetData>
  <mergeCells count="17">
    <mergeCell ref="B1:K1"/>
    <mergeCell ref="B2:K2"/>
    <mergeCell ref="J11:K11"/>
    <mergeCell ref="B13:H13"/>
    <mergeCell ref="B14:H14"/>
    <mergeCell ref="B15:H15"/>
    <mergeCell ref="B19:D19"/>
    <mergeCell ref="E19:G19"/>
    <mergeCell ref="B20:D20"/>
    <mergeCell ref="E20:G20"/>
    <mergeCell ref="B21:D21"/>
    <mergeCell ref="E21:G21"/>
    <mergeCell ref="B22:D22"/>
    <mergeCell ref="E22:G22"/>
    <mergeCell ref="I25:J25"/>
    <mergeCell ref="I27:J27"/>
    <mergeCell ref="B6:G9"/>
  </mergeCells>
  <pageMargins left="0.747916666666667" right="0.747916666666667" top="0.984027777777778" bottom="0.984027777777778" header="0.511805555555556" footer="0.511805555555556"/>
  <pageSetup paperSize="9" scale="66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Ship</vt:lpstr>
      <vt:lpstr>销售订单8.06</vt:lpstr>
      <vt:lpstr>一般贸易发票 (更新)</vt:lpstr>
      <vt:lpstr>一般贸易箱单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夏婲</cp:lastModifiedBy>
  <dcterms:created xsi:type="dcterms:W3CDTF">2026-07-31T12:41:00Z</dcterms:created>
  <dcterms:modified xsi:type="dcterms:W3CDTF">2026-08-12T06:08:06Z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F455459E819343DFAFB1F4EC6FA871D8_13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